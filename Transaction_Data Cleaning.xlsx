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 REZA PRATAMA\Downloads\"/>
    </mc:Choice>
  </mc:AlternateContent>
  <xr:revisionPtr revIDLastSave="0" documentId="8_{30954243-B297-402D-8B6A-0A96D73055EC}" xr6:coauthVersionLast="47" xr6:coauthVersionMax="47" xr10:uidLastSave="{00000000-0000-0000-0000-000000000000}"/>
  <bookViews>
    <workbookView xWindow="-110" yWindow="-110" windowWidth="19420" windowHeight="10300" firstSheet="1" activeTab="2" xr2:uid="{876E18E5-2BB1-4ADC-8893-908EDB0A9874}"/>
  </bookViews>
  <sheets>
    <sheet name="digital_banking_transactions" sheetId="2" r:id="rId1"/>
    <sheet name="Cleaned Data" sheetId="3" r:id="rId2"/>
    <sheet name="Notes" sheetId="5" r:id="rId3"/>
  </sheets>
  <definedNames>
    <definedName name="ExternalData_1" localSheetId="1" hidden="1">'Cleaned Data'!$A$1:$M$699</definedName>
    <definedName name="ExternalData_1" localSheetId="0" hidden="1">digital_banking_transactions!$A$1:$M$731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3" l="1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R2" i="3"/>
  <c r="R3" i="3"/>
  <c r="R4" i="3"/>
  <c r="R5" i="3"/>
  <c r="T5" i="3" s="1"/>
  <c r="R6" i="3"/>
  <c r="R7" i="3"/>
  <c r="R8" i="3"/>
  <c r="R9" i="3"/>
  <c r="R10" i="3"/>
  <c r="R11" i="3"/>
  <c r="R12" i="3"/>
  <c r="T12" i="3" s="1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T27" i="3" s="1"/>
  <c r="R28" i="3"/>
  <c r="R29" i="3"/>
  <c r="R30" i="3"/>
  <c r="R31" i="3"/>
  <c r="R32" i="3"/>
  <c r="T32" i="3" s="1"/>
  <c r="R33" i="3"/>
  <c r="R34" i="3"/>
  <c r="R35" i="3"/>
  <c r="R36" i="3"/>
  <c r="S36" i="3" s="1"/>
  <c r="R37" i="3"/>
  <c r="T37" i="3" s="1"/>
  <c r="R38" i="3"/>
  <c r="R39" i="3"/>
  <c r="R40" i="3"/>
  <c r="R41" i="3"/>
  <c r="R42" i="3"/>
  <c r="R43" i="3"/>
  <c r="R44" i="3"/>
  <c r="R45" i="3"/>
  <c r="R46" i="3"/>
  <c r="R47" i="3"/>
  <c r="T47" i="3" s="1"/>
  <c r="R48" i="3"/>
  <c r="T48" i="3" s="1"/>
  <c r="R49" i="3"/>
  <c r="R50" i="3"/>
  <c r="R51" i="3"/>
  <c r="R52" i="3"/>
  <c r="R53" i="3"/>
  <c r="T53" i="3" s="1"/>
  <c r="R54" i="3"/>
  <c r="R55" i="3"/>
  <c r="R56" i="3"/>
  <c r="R57" i="3"/>
  <c r="R58" i="3"/>
  <c r="R59" i="3"/>
  <c r="T59" i="3" s="1"/>
  <c r="R60" i="3"/>
  <c r="R61" i="3"/>
  <c r="R62" i="3"/>
  <c r="R63" i="3"/>
  <c r="R64" i="3"/>
  <c r="T64" i="3" s="1"/>
  <c r="R65" i="3"/>
  <c r="R66" i="3"/>
  <c r="R67" i="3"/>
  <c r="R68" i="3"/>
  <c r="S68" i="3" s="1"/>
  <c r="R69" i="3"/>
  <c r="T69" i="3" s="1"/>
  <c r="R70" i="3"/>
  <c r="R71" i="3"/>
  <c r="R72" i="3"/>
  <c r="R73" i="3"/>
  <c r="R74" i="3"/>
  <c r="R75" i="3"/>
  <c r="R76" i="3"/>
  <c r="R77" i="3"/>
  <c r="R78" i="3"/>
  <c r="R79" i="3"/>
  <c r="T79" i="3" s="1"/>
  <c r="R80" i="3"/>
  <c r="T80" i="3" s="1"/>
  <c r="R81" i="3"/>
  <c r="R82" i="3"/>
  <c r="R83" i="3"/>
  <c r="R84" i="3"/>
  <c r="R85" i="3"/>
  <c r="T85" i="3" s="1"/>
  <c r="R86" i="3"/>
  <c r="R87" i="3"/>
  <c r="R88" i="3"/>
  <c r="R89" i="3"/>
  <c r="R90" i="3"/>
  <c r="R91" i="3"/>
  <c r="T91" i="3" s="1"/>
  <c r="R92" i="3"/>
  <c r="R93" i="3"/>
  <c r="R94" i="3"/>
  <c r="R95" i="3"/>
  <c r="R96" i="3"/>
  <c r="T96" i="3" s="1"/>
  <c r="R97" i="3"/>
  <c r="R98" i="3"/>
  <c r="R99" i="3"/>
  <c r="R100" i="3"/>
  <c r="S100" i="3" s="1"/>
  <c r="R101" i="3"/>
  <c r="R102" i="3"/>
  <c r="R103" i="3"/>
  <c r="R104" i="3"/>
  <c r="R105" i="3"/>
  <c r="R106" i="3"/>
  <c r="R107" i="3"/>
  <c r="R108" i="3"/>
  <c r="S108" i="3" s="1"/>
  <c r="R109" i="3"/>
  <c r="R110" i="3"/>
  <c r="R111" i="3"/>
  <c r="T111" i="3" s="1"/>
  <c r="R112" i="3"/>
  <c r="T112" i="3" s="1"/>
  <c r="R113" i="3"/>
  <c r="R114" i="3"/>
  <c r="R115" i="3"/>
  <c r="R116" i="3"/>
  <c r="R117" i="3"/>
  <c r="R118" i="3"/>
  <c r="R119" i="3"/>
  <c r="R120" i="3"/>
  <c r="R121" i="3"/>
  <c r="T121" i="3" s="1"/>
  <c r="R122" i="3"/>
  <c r="R123" i="3"/>
  <c r="T123" i="3" s="1"/>
  <c r="R124" i="3"/>
  <c r="R125" i="3"/>
  <c r="R126" i="3"/>
  <c r="R127" i="3"/>
  <c r="R128" i="3"/>
  <c r="R129" i="3"/>
  <c r="R130" i="3"/>
  <c r="R131" i="3"/>
  <c r="R132" i="3"/>
  <c r="S132" i="3" s="1"/>
  <c r="R133" i="3"/>
  <c r="R134" i="3"/>
  <c r="R135" i="3"/>
  <c r="R136" i="3"/>
  <c r="R137" i="3"/>
  <c r="R138" i="3"/>
  <c r="R139" i="3"/>
  <c r="R140" i="3"/>
  <c r="R141" i="3"/>
  <c r="R142" i="3"/>
  <c r="R143" i="3"/>
  <c r="T143" i="3" s="1"/>
  <c r="R144" i="3"/>
  <c r="T144" i="3" s="1"/>
  <c r="R145" i="3"/>
  <c r="R146" i="3"/>
  <c r="R147" i="3"/>
  <c r="R148" i="3"/>
  <c r="R149" i="3"/>
  <c r="R150" i="3"/>
  <c r="R151" i="3"/>
  <c r="R152" i="3"/>
  <c r="R153" i="3"/>
  <c r="R154" i="3"/>
  <c r="R155" i="3"/>
  <c r="T155" i="3" s="1"/>
  <c r="R156" i="3"/>
  <c r="R157" i="3"/>
  <c r="R158" i="3"/>
  <c r="R159" i="3"/>
  <c r="R160" i="3"/>
  <c r="T160" i="3" s="1"/>
  <c r="R161" i="3"/>
  <c r="R162" i="3"/>
  <c r="R163" i="3"/>
  <c r="R164" i="3"/>
  <c r="S164" i="3" s="1"/>
  <c r="R165" i="3"/>
  <c r="R166" i="3"/>
  <c r="R167" i="3"/>
  <c r="R168" i="3"/>
  <c r="R169" i="3"/>
  <c r="R170" i="3"/>
  <c r="R171" i="3"/>
  <c r="R172" i="3"/>
  <c r="S172" i="3" s="1"/>
  <c r="R173" i="3"/>
  <c r="R174" i="3"/>
  <c r="R175" i="3"/>
  <c r="T175" i="3" s="1"/>
  <c r="R176" i="3"/>
  <c r="T176" i="3" s="1"/>
  <c r="R177" i="3"/>
  <c r="R178" i="3"/>
  <c r="R179" i="3"/>
  <c r="R180" i="3"/>
  <c r="R181" i="3"/>
  <c r="T181" i="3" s="1"/>
  <c r="R182" i="3"/>
  <c r="R183" i="3"/>
  <c r="R184" i="3"/>
  <c r="R185" i="3"/>
  <c r="R186" i="3"/>
  <c r="R187" i="3"/>
  <c r="T187" i="3" s="1"/>
  <c r="R188" i="3"/>
  <c r="R189" i="3"/>
  <c r="R190" i="3"/>
  <c r="R191" i="3"/>
  <c r="R192" i="3"/>
  <c r="R193" i="3"/>
  <c r="R194" i="3"/>
  <c r="R195" i="3"/>
  <c r="R196" i="3"/>
  <c r="S196" i="3" s="1"/>
  <c r="R197" i="3"/>
  <c r="R198" i="3"/>
  <c r="R199" i="3"/>
  <c r="R200" i="3"/>
  <c r="R201" i="3"/>
  <c r="R202" i="3"/>
  <c r="R203" i="3"/>
  <c r="R204" i="3"/>
  <c r="R205" i="3"/>
  <c r="R206" i="3"/>
  <c r="R207" i="3"/>
  <c r="T207" i="3" s="1"/>
  <c r="R208" i="3"/>
  <c r="T208" i="3" s="1"/>
  <c r="R209" i="3"/>
  <c r="R210" i="3"/>
  <c r="R211" i="3"/>
  <c r="R212" i="3"/>
  <c r="R213" i="3"/>
  <c r="T213" i="3" s="1"/>
  <c r="R214" i="3"/>
  <c r="R215" i="3"/>
  <c r="R216" i="3"/>
  <c r="R217" i="3"/>
  <c r="R218" i="3"/>
  <c r="R219" i="3"/>
  <c r="T219" i="3" s="1"/>
  <c r="R220" i="3"/>
  <c r="R221" i="3"/>
  <c r="R222" i="3"/>
  <c r="R223" i="3"/>
  <c r="R224" i="3"/>
  <c r="R225" i="3"/>
  <c r="R226" i="3"/>
  <c r="R227" i="3"/>
  <c r="R228" i="3"/>
  <c r="S228" i="3" s="1"/>
  <c r="R229" i="3"/>
  <c r="R230" i="3"/>
  <c r="R231" i="3"/>
  <c r="R232" i="3"/>
  <c r="R233" i="3"/>
  <c r="R234" i="3"/>
  <c r="R235" i="3"/>
  <c r="R236" i="3"/>
  <c r="S236" i="3" s="1"/>
  <c r="R237" i="3"/>
  <c r="R238" i="3"/>
  <c r="R239" i="3"/>
  <c r="T239" i="3" s="1"/>
  <c r="R240" i="3"/>
  <c r="T240" i="3" s="1"/>
  <c r="R241" i="3"/>
  <c r="R242" i="3"/>
  <c r="R243" i="3"/>
  <c r="R244" i="3"/>
  <c r="R245" i="3"/>
  <c r="R246" i="3"/>
  <c r="R247" i="3"/>
  <c r="R248" i="3"/>
  <c r="R249" i="3"/>
  <c r="T249" i="3" s="1"/>
  <c r="R250" i="3"/>
  <c r="R251" i="3"/>
  <c r="T251" i="3" s="1"/>
  <c r="R252" i="3"/>
  <c r="R253" i="3"/>
  <c r="R254" i="3"/>
  <c r="R255" i="3"/>
  <c r="R256" i="3"/>
  <c r="R257" i="3"/>
  <c r="R258" i="3"/>
  <c r="R259" i="3"/>
  <c r="R260" i="3"/>
  <c r="S260" i="3" s="1"/>
  <c r="R261" i="3"/>
  <c r="R262" i="3"/>
  <c r="R263" i="3"/>
  <c r="R264" i="3"/>
  <c r="R265" i="3"/>
  <c r="R266" i="3"/>
  <c r="R267" i="3"/>
  <c r="R268" i="3"/>
  <c r="R269" i="3"/>
  <c r="R270" i="3"/>
  <c r="R271" i="3"/>
  <c r="T271" i="3" s="1"/>
  <c r="R272" i="3"/>
  <c r="T272" i="3" s="1"/>
  <c r="R273" i="3"/>
  <c r="R274" i="3"/>
  <c r="R275" i="3"/>
  <c r="R276" i="3"/>
  <c r="R277" i="3"/>
  <c r="R278" i="3"/>
  <c r="R279" i="3"/>
  <c r="R280" i="3"/>
  <c r="R281" i="3"/>
  <c r="T281" i="3" s="1"/>
  <c r="R282" i="3"/>
  <c r="R283" i="3"/>
  <c r="T283" i="3" s="1"/>
  <c r="R284" i="3"/>
  <c r="R285" i="3"/>
  <c r="R286" i="3"/>
  <c r="R287" i="3"/>
  <c r="R288" i="3"/>
  <c r="R289" i="3"/>
  <c r="R290" i="3"/>
  <c r="R291" i="3"/>
  <c r="R292" i="3"/>
  <c r="S292" i="3" s="1"/>
  <c r="R293" i="3"/>
  <c r="R294" i="3"/>
  <c r="R295" i="3"/>
  <c r="R296" i="3"/>
  <c r="R297" i="3"/>
  <c r="T297" i="3" s="1"/>
  <c r="R298" i="3"/>
  <c r="R299" i="3"/>
  <c r="R300" i="3"/>
  <c r="R301" i="3"/>
  <c r="R302" i="3"/>
  <c r="R303" i="3"/>
  <c r="R304" i="3"/>
  <c r="R305" i="3"/>
  <c r="T305" i="3" s="1"/>
  <c r="R306" i="3"/>
  <c r="R307" i="3"/>
  <c r="R308" i="3"/>
  <c r="R309" i="3"/>
  <c r="R310" i="3"/>
  <c r="R311" i="3"/>
  <c r="R312" i="3"/>
  <c r="R313" i="3"/>
  <c r="R314" i="3"/>
  <c r="R315" i="3"/>
  <c r="R316" i="3"/>
  <c r="R317" i="3"/>
  <c r="T317" i="3" s="1"/>
  <c r="R318" i="3"/>
  <c r="R319" i="3"/>
  <c r="R320" i="3"/>
  <c r="R321" i="3"/>
  <c r="S321" i="3" s="1"/>
  <c r="R322" i="3"/>
  <c r="R323" i="3"/>
  <c r="R324" i="3"/>
  <c r="S324" i="3" s="1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T345" i="3" s="1"/>
  <c r="R346" i="3"/>
  <c r="R347" i="3"/>
  <c r="R348" i="3"/>
  <c r="S348" i="3" s="1"/>
  <c r="R349" i="3"/>
  <c r="R350" i="3"/>
  <c r="R351" i="3"/>
  <c r="R352" i="3"/>
  <c r="S352" i="3" s="1"/>
  <c r="R353" i="3"/>
  <c r="T353" i="3" s="1"/>
  <c r="R354" i="3"/>
  <c r="R355" i="3"/>
  <c r="R356" i="3"/>
  <c r="R357" i="3"/>
  <c r="T357" i="3" s="1"/>
  <c r="R358" i="3"/>
  <c r="R359" i="3"/>
  <c r="R360" i="3"/>
  <c r="R361" i="3"/>
  <c r="R362" i="3"/>
  <c r="R363" i="3"/>
  <c r="R364" i="3"/>
  <c r="S364" i="3" s="1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S380" i="3" s="1"/>
  <c r="R381" i="3"/>
  <c r="R382" i="3"/>
  <c r="R383" i="3"/>
  <c r="R384" i="3"/>
  <c r="R385" i="3"/>
  <c r="R386" i="3"/>
  <c r="R387" i="3"/>
  <c r="R388" i="3"/>
  <c r="R389" i="3"/>
  <c r="R390" i="3"/>
  <c r="R391" i="3"/>
  <c r="R392" i="3"/>
  <c r="S392" i="3" s="1"/>
  <c r="R393" i="3"/>
  <c r="R394" i="3"/>
  <c r="R395" i="3"/>
  <c r="R396" i="3"/>
  <c r="R397" i="3"/>
  <c r="R398" i="3"/>
  <c r="R399" i="3"/>
  <c r="R400" i="3"/>
  <c r="R401" i="3"/>
  <c r="R402" i="3"/>
  <c r="R403" i="3"/>
  <c r="R404" i="3"/>
  <c r="S404" i="3" s="1"/>
  <c r="R405" i="3"/>
  <c r="T405" i="3" s="1"/>
  <c r="R406" i="3"/>
  <c r="R407" i="3"/>
  <c r="R408" i="3"/>
  <c r="R409" i="3"/>
  <c r="R410" i="3"/>
  <c r="R411" i="3"/>
  <c r="R412" i="3"/>
  <c r="R413" i="3"/>
  <c r="R414" i="3"/>
  <c r="R415" i="3"/>
  <c r="R416" i="3"/>
  <c r="S416" i="3" s="1"/>
  <c r="R417" i="3"/>
  <c r="R418" i="3"/>
  <c r="R419" i="3"/>
  <c r="R420" i="3"/>
  <c r="R421" i="3"/>
  <c r="T421" i="3" s="1"/>
  <c r="R422" i="3"/>
  <c r="R423" i="3"/>
  <c r="R424" i="3"/>
  <c r="S424" i="3" s="1"/>
  <c r="R425" i="3"/>
  <c r="R426" i="3"/>
  <c r="R427" i="3"/>
  <c r="R428" i="3"/>
  <c r="R429" i="3"/>
  <c r="R430" i="3"/>
  <c r="R431" i="3"/>
  <c r="R432" i="3"/>
  <c r="R433" i="3"/>
  <c r="R434" i="3"/>
  <c r="R435" i="3"/>
  <c r="R436" i="3"/>
  <c r="S436" i="3" s="1"/>
  <c r="R437" i="3"/>
  <c r="R438" i="3"/>
  <c r="R439" i="3"/>
  <c r="R440" i="3"/>
  <c r="R441" i="3"/>
  <c r="R442" i="3"/>
  <c r="R443" i="3"/>
  <c r="R444" i="3"/>
  <c r="R445" i="3"/>
  <c r="T445" i="3" s="1"/>
  <c r="R446" i="3"/>
  <c r="R447" i="3"/>
  <c r="R448" i="3"/>
  <c r="R449" i="3"/>
  <c r="T449" i="3" s="1"/>
  <c r="R450" i="3"/>
  <c r="R451" i="3"/>
  <c r="R452" i="3"/>
  <c r="R453" i="3"/>
  <c r="R454" i="3"/>
  <c r="R455" i="3"/>
  <c r="R456" i="3"/>
  <c r="S456" i="3" s="1"/>
  <c r="R457" i="3"/>
  <c r="T457" i="3" s="1"/>
  <c r="R458" i="3"/>
  <c r="R459" i="3"/>
  <c r="R460" i="3"/>
  <c r="T460" i="3" s="1"/>
  <c r="R461" i="3"/>
  <c r="R462" i="3"/>
  <c r="R463" i="3"/>
  <c r="R464" i="3"/>
  <c r="R465" i="3"/>
  <c r="T465" i="3" s="1"/>
  <c r="R466" i="3"/>
  <c r="R467" i="3"/>
  <c r="R468" i="3"/>
  <c r="S468" i="3" s="1"/>
  <c r="R469" i="3"/>
  <c r="R470" i="3"/>
  <c r="R471" i="3"/>
  <c r="R472" i="3"/>
  <c r="R473" i="3"/>
  <c r="R474" i="3"/>
  <c r="R475" i="3"/>
  <c r="R476" i="3"/>
  <c r="R477" i="3"/>
  <c r="T477" i="3" s="1"/>
  <c r="R478" i="3"/>
  <c r="R479" i="3"/>
  <c r="R480" i="3"/>
  <c r="S480" i="3" s="1"/>
  <c r="R481" i="3"/>
  <c r="R482" i="3"/>
  <c r="R483" i="3"/>
  <c r="R484" i="3"/>
  <c r="R485" i="3"/>
  <c r="R486" i="3"/>
  <c r="R487" i="3"/>
  <c r="R488" i="3"/>
  <c r="S488" i="3" s="1"/>
  <c r="R489" i="3"/>
  <c r="R490" i="3"/>
  <c r="R491" i="3"/>
  <c r="R492" i="3"/>
  <c r="R493" i="3"/>
  <c r="R494" i="3"/>
  <c r="R495" i="3"/>
  <c r="R496" i="3"/>
  <c r="R497" i="3"/>
  <c r="T497" i="3" s="1"/>
  <c r="R498" i="3"/>
  <c r="R499" i="3"/>
  <c r="R500" i="3"/>
  <c r="S500" i="3" s="1"/>
  <c r="R501" i="3"/>
  <c r="R502" i="3"/>
  <c r="R503" i="3"/>
  <c r="R504" i="3"/>
  <c r="R505" i="3"/>
  <c r="T505" i="3" s="1"/>
  <c r="R506" i="3"/>
  <c r="R507" i="3"/>
  <c r="R508" i="3"/>
  <c r="R509" i="3"/>
  <c r="R510" i="3"/>
  <c r="R511" i="3"/>
  <c r="R512" i="3"/>
  <c r="R513" i="3"/>
  <c r="T513" i="3" s="1"/>
  <c r="R514" i="3"/>
  <c r="R515" i="3"/>
  <c r="R516" i="3"/>
  <c r="R517" i="3"/>
  <c r="R518" i="3"/>
  <c r="R519" i="3"/>
  <c r="R520" i="3"/>
  <c r="R521" i="3"/>
  <c r="T521" i="3" s="1"/>
  <c r="R522" i="3"/>
  <c r="R523" i="3"/>
  <c r="R524" i="3"/>
  <c r="R525" i="3"/>
  <c r="R526" i="3"/>
  <c r="R527" i="3"/>
  <c r="R528" i="3"/>
  <c r="R529" i="3"/>
  <c r="T529" i="3" s="1"/>
  <c r="R530" i="3"/>
  <c r="R531" i="3"/>
  <c r="R532" i="3"/>
  <c r="R533" i="3"/>
  <c r="T533" i="3" s="1"/>
  <c r="R534" i="3"/>
  <c r="R535" i="3"/>
  <c r="R536" i="3"/>
  <c r="R537" i="3"/>
  <c r="R538" i="3"/>
  <c r="R539" i="3"/>
  <c r="S539" i="3" s="1"/>
  <c r="R540" i="3"/>
  <c r="R541" i="3"/>
  <c r="R542" i="3"/>
  <c r="R543" i="3"/>
  <c r="R544" i="3"/>
  <c r="R545" i="3"/>
  <c r="R546" i="3"/>
  <c r="R547" i="3"/>
  <c r="R548" i="3"/>
  <c r="T548" i="3" s="1"/>
  <c r="R549" i="3"/>
  <c r="T549" i="3" s="1"/>
  <c r="R550" i="3"/>
  <c r="R551" i="3"/>
  <c r="R552" i="3"/>
  <c r="R553" i="3"/>
  <c r="R554" i="3"/>
  <c r="R555" i="3"/>
  <c r="R556" i="3"/>
  <c r="R557" i="3"/>
  <c r="R558" i="3"/>
  <c r="R559" i="3"/>
  <c r="R560" i="3"/>
  <c r="R561" i="3"/>
  <c r="T561" i="3" s="1"/>
  <c r="R562" i="3"/>
  <c r="R563" i="3"/>
  <c r="S563" i="3" s="1"/>
  <c r="R564" i="3"/>
  <c r="T564" i="3" s="1"/>
  <c r="R565" i="3"/>
  <c r="T565" i="3" s="1"/>
  <c r="R566" i="3"/>
  <c r="R567" i="3"/>
  <c r="S567" i="3" s="1"/>
  <c r="R568" i="3"/>
  <c r="T568" i="3" s="1"/>
  <c r="R569" i="3"/>
  <c r="R570" i="3"/>
  <c r="R571" i="3"/>
  <c r="S571" i="3" s="1"/>
  <c r="R572" i="3"/>
  <c r="R573" i="3"/>
  <c r="R574" i="3"/>
  <c r="R575" i="3"/>
  <c r="S575" i="3" s="1"/>
  <c r="R576" i="3"/>
  <c r="T576" i="3" s="1"/>
  <c r="R577" i="3"/>
  <c r="R578" i="3"/>
  <c r="R579" i="3"/>
  <c r="R580" i="3"/>
  <c r="R581" i="3"/>
  <c r="R582" i="3"/>
  <c r="R583" i="3"/>
  <c r="S583" i="3" s="1"/>
  <c r="R584" i="3"/>
  <c r="R585" i="3"/>
  <c r="R586" i="3"/>
  <c r="R587" i="3"/>
  <c r="T587" i="3" s="1"/>
  <c r="R588" i="3"/>
  <c r="R589" i="3"/>
  <c r="T589" i="3" s="1"/>
  <c r="R590" i="3"/>
  <c r="R591" i="3"/>
  <c r="S591" i="3" s="1"/>
  <c r="R592" i="3"/>
  <c r="T592" i="3" s="1"/>
  <c r="R593" i="3"/>
  <c r="R594" i="3"/>
  <c r="R595" i="3"/>
  <c r="S595" i="3" s="1"/>
  <c r="R596" i="3"/>
  <c r="T596" i="3" s="1"/>
  <c r="R597" i="3"/>
  <c r="T597" i="3" s="1"/>
  <c r="R598" i="3"/>
  <c r="R599" i="3"/>
  <c r="S599" i="3" s="1"/>
  <c r="R600" i="3"/>
  <c r="R601" i="3"/>
  <c r="R602" i="3"/>
  <c r="R603" i="3"/>
  <c r="T603" i="3" s="1"/>
  <c r="R604" i="3"/>
  <c r="R605" i="3"/>
  <c r="T605" i="3" s="1"/>
  <c r="R606" i="3"/>
  <c r="R607" i="3"/>
  <c r="S607" i="3" s="1"/>
  <c r="R608" i="3"/>
  <c r="T608" i="3" s="1"/>
  <c r="R609" i="3"/>
  <c r="R610" i="3"/>
  <c r="R611" i="3"/>
  <c r="R612" i="3"/>
  <c r="R613" i="3"/>
  <c r="T613" i="3" s="1"/>
  <c r="R614" i="3"/>
  <c r="R615" i="3"/>
  <c r="S615" i="3" s="1"/>
  <c r="R616" i="3"/>
  <c r="T616" i="3" s="1"/>
  <c r="R617" i="3"/>
  <c r="R618" i="3"/>
  <c r="R619" i="3"/>
  <c r="T619" i="3" s="1"/>
  <c r="R620" i="3"/>
  <c r="R621" i="3"/>
  <c r="R622" i="3"/>
  <c r="R623" i="3"/>
  <c r="S623" i="3" s="1"/>
  <c r="R624" i="3"/>
  <c r="T624" i="3" s="1"/>
  <c r="R625" i="3"/>
  <c r="R626" i="3"/>
  <c r="R627" i="3"/>
  <c r="S627" i="3" s="1"/>
  <c r="R628" i="3"/>
  <c r="T628" i="3" s="1"/>
  <c r="R629" i="3"/>
  <c r="R630" i="3"/>
  <c r="R631" i="3"/>
  <c r="S631" i="3" s="1"/>
  <c r="R632" i="3"/>
  <c r="R633" i="3"/>
  <c r="T633" i="3" s="1"/>
  <c r="R634" i="3"/>
  <c r="R635" i="3"/>
  <c r="S635" i="3" s="1"/>
  <c r="R636" i="3"/>
  <c r="R637" i="3"/>
  <c r="T637" i="3" s="1"/>
  <c r="R638" i="3"/>
  <c r="R639" i="3"/>
  <c r="S639" i="3" s="1"/>
  <c r="R640" i="3"/>
  <c r="T640" i="3" s="1"/>
  <c r="R641" i="3"/>
  <c r="R642" i="3"/>
  <c r="T642" i="3" s="1"/>
  <c r="R643" i="3"/>
  <c r="T643" i="3" s="1"/>
  <c r="R644" i="3"/>
  <c r="T644" i="3" s="1"/>
  <c r="R645" i="3"/>
  <c r="R646" i="3"/>
  <c r="S646" i="3" s="1"/>
  <c r="R647" i="3"/>
  <c r="S647" i="3" s="1"/>
  <c r="R648" i="3"/>
  <c r="T648" i="3" s="1"/>
  <c r="R649" i="3"/>
  <c r="R650" i="3"/>
  <c r="T650" i="3" s="1"/>
  <c r="R651" i="3"/>
  <c r="T651" i="3" s="1"/>
  <c r="R652" i="3"/>
  <c r="T652" i="3" s="1"/>
  <c r="R653" i="3"/>
  <c r="R654" i="3"/>
  <c r="S654" i="3" s="1"/>
  <c r="R655" i="3"/>
  <c r="S655" i="3" s="1"/>
  <c r="R656" i="3"/>
  <c r="T656" i="3" s="1"/>
  <c r="R657" i="3"/>
  <c r="R658" i="3"/>
  <c r="T658" i="3" s="1"/>
  <c r="R659" i="3"/>
  <c r="T659" i="3" s="1"/>
  <c r="R660" i="3"/>
  <c r="T660" i="3" s="1"/>
  <c r="R661" i="3"/>
  <c r="R662" i="3"/>
  <c r="S662" i="3" s="1"/>
  <c r="R663" i="3"/>
  <c r="S663" i="3" s="1"/>
  <c r="R664" i="3"/>
  <c r="T664" i="3" s="1"/>
  <c r="R665" i="3"/>
  <c r="R666" i="3"/>
  <c r="T666" i="3" s="1"/>
  <c r="R667" i="3"/>
  <c r="T667" i="3" s="1"/>
  <c r="R668" i="3"/>
  <c r="T668" i="3" s="1"/>
  <c r="R669" i="3"/>
  <c r="R670" i="3"/>
  <c r="S670" i="3" s="1"/>
  <c r="R671" i="3"/>
  <c r="S671" i="3" s="1"/>
  <c r="R672" i="3"/>
  <c r="T672" i="3" s="1"/>
  <c r="R673" i="3"/>
  <c r="R674" i="3"/>
  <c r="T674" i="3" s="1"/>
  <c r="R675" i="3"/>
  <c r="T675" i="3" s="1"/>
  <c r="R676" i="3"/>
  <c r="T676" i="3" s="1"/>
  <c r="R677" i="3"/>
  <c r="R678" i="3"/>
  <c r="S678" i="3" s="1"/>
  <c r="R679" i="3"/>
  <c r="S679" i="3" s="1"/>
  <c r="R680" i="3"/>
  <c r="T680" i="3" s="1"/>
  <c r="R681" i="3"/>
  <c r="R682" i="3"/>
  <c r="T682" i="3" s="1"/>
  <c r="R683" i="3"/>
  <c r="T683" i="3" s="1"/>
  <c r="R684" i="3"/>
  <c r="T684" i="3" s="1"/>
  <c r="R685" i="3"/>
  <c r="R686" i="3"/>
  <c r="S686" i="3" s="1"/>
  <c r="R687" i="3"/>
  <c r="S687" i="3" s="1"/>
  <c r="R688" i="3"/>
  <c r="T688" i="3" s="1"/>
  <c r="R689" i="3"/>
  <c r="R690" i="3"/>
  <c r="T690" i="3" s="1"/>
  <c r="R691" i="3"/>
  <c r="S691" i="3" s="1"/>
  <c r="R692" i="3"/>
  <c r="T692" i="3" s="1"/>
  <c r="R693" i="3"/>
  <c r="R694" i="3"/>
  <c r="S694" i="3" s="1"/>
  <c r="R695" i="3"/>
  <c r="S695" i="3" s="1"/>
  <c r="R696" i="3"/>
  <c r="T696" i="3" s="1"/>
  <c r="R697" i="3"/>
  <c r="R698" i="3"/>
  <c r="T698" i="3" s="1"/>
  <c r="R699" i="3"/>
  <c r="T699" i="3" s="1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S667" i="3" l="1"/>
  <c r="S603" i="3"/>
  <c r="T695" i="3"/>
  <c r="T687" i="3"/>
  <c r="T679" i="3"/>
  <c r="T671" i="3"/>
  <c r="T663" i="3"/>
  <c r="T655" i="3"/>
  <c r="T647" i="3"/>
  <c r="T639" i="3"/>
  <c r="T575" i="3"/>
  <c r="S659" i="3"/>
  <c r="T635" i="3"/>
  <c r="T591" i="3"/>
  <c r="T571" i="3"/>
  <c r="S699" i="3"/>
  <c r="T691" i="3"/>
  <c r="T607" i="3"/>
  <c r="T623" i="3"/>
  <c r="S693" i="3"/>
  <c r="S685" i="3"/>
  <c r="S677" i="3"/>
  <c r="S665" i="3"/>
  <c r="S657" i="3"/>
  <c r="S645" i="3"/>
  <c r="S641" i="3"/>
  <c r="S629" i="3"/>
  <c r="S621" i="3"/>
  <c r="S609" i="3"/>
  <c r="S601" i="3"/>
  <c r="S593" i="3"/>
  <c r="S581" i="3"/>
  <c r="S573" i="3"/>
  <c r="S553" i="3"/>
  <c r="S545" i="3"/>
  <c r="S537" i="3"/>
  <c r="S525" i="3"/>
  <c r="S517" i="3"/>
  <c r="S509" i="3"/>
  <c r="S501" i="3"/>
  <c r="S489" i="3"/>
  <c r="S481" i="3"/>
  <c r="S473" i="3"/>
  <c r="S469" i="3"/>
  <c r="S461" i="3"/>
  <c r="S453" i="3"/>
  <c r="S441" i="3"/>
  <c r="S433" i="3"/>
  <c r="S425" i="3"/>
  <c r="S417" i="3"/>
  <c r="S409" i="3"/>
  <c r="S401" i="3"/>
  <c r="S393" i="3"/>
  <c r="S389" i="3"/>
  <c r="S385" i="3"/>
  <c r="S381" i="3"/>
  <c r="S377" i="3"/>
  <c r="S373" i="3"/>
  <c r="S369" i="3"/>
  <c r="S365" i="3"/>
  <c r="S361" i="3"/>
  <c r="S349" i="3"/>
  <c r="S341" i="3"/>
  <c r="S337" i="3"/>
  <c r="S333" i="3"/>
  <c r="S329" i="3"/>
  <c r="S325" i="3"/>
  <c r="S313" i="3"/>
  <c r="S309" i="3"/>
  <c r="S301" i="3"/>
  <c r="S293" i="3"/>
  <c r="S285" i="3"/>
  <c r="T285" i="3"/>
  <c r="S277" i="3"/>
  <c r="S269" i="3"/>
  <c r="T269" i="3"/>
  <c r="S261" i="3"/>
  <c r="S253" i="3"/>
  <c r="T253" i="3"/>
  <c r="S245" i="3"/>
  <c r="S237" i="3"/>
  <c r="T237" i="3"/>
  <c r="S225" i="3"/>
  <c r="T225" i="3"/>
  <c r="S217" i="3"/>
  <c r="S209" i="3"/>
  <c r="T209" i="3"/>
  <c r="S201" i="3"/>
  <c r="S193" i="3"/>
  <c r="T193" i="3"/>
  <c r="S185" i="3"/>
  <c r="S177" i="3"/>
  <c r="T177" i="3"/>
  <c r="S165" i="3"/>
  <c r="S157" i="3"/>
  <c r="T157" i="3"/>
  <c r="S149" i="3"/>
  <c r="S145" i="3"/>
  <c r="T145" i="3"/>
  <c r="S137" i="3"/>
  <c r="S125" i="3"/>
  <c r="T125" i="3"/>
  <c r="S117" i="3"/>
  <c r="S109" i="3"/>
  <c r="T109" i="3"/>
  <c r="S101" i="3"/>
  <c r="S89" i="3"/>
  <c r="S81" i="3"/>
  <c r="T81" i="3"/>
  <c r="S73" i="3"/>
  <c r="S61" i="3"/>
  <c r="T61" i="3"/>
  <c r="S57" i="3"/>
  <c r="S49" i="3"/>
  <c r="T49" i="3"/>
  <c r="S41" i="3"/>
  <c r="S29" i="3"/>
  <c r="T29" i="3"/>
  <c r="S21" i="3"/>
  <c r="S9" i="3"/>
  <c r="T9" i="3"/>
  <c r="T517" i="3"/>
  <c r="T501" i="3"/>
  <c r="T461" i="3"/>
  <c r="T389" i="3"/>
  <c r="T373" i="3"/>
  <c r="T341" i="3"/>
  <c r="T301" i="3"/>
  <c r="T101" i="3"/>
  <c r="S688" i="3"/>
  <c r="S680" i="3"/>
  <c r="S668" i="3"/>
  <c r="S660" i="3"/>
  <c r="S648" i="3"/>
  <c r="S640" i="3"/>
  <c r="S632" i="3"/>
  <c r="S620" i="3"/>
  <c r="S612" i="3"/>
  <c r="S600" i="3"/>
  <c r="S592" i="3"/>
  <c r="S584" i="3"/>
  <c r="S572" i="3"/>
  <c r="S560" i="3"/>
  <c r="S552" i="3"/>
  <c r="S544" i="3"/>
  <c r="S532" i="3"/>
  <c r="S524" i="3"/>
  <c r="S516" i="3"/>
  <c r="S508" i="3"/>
  <c r="S504" i="3"/>
  <c r="S492" i="3"/>
  <c r="S484" i="3"/>
  <c r="S476" i="3"/>
  <c r="S472" i="3"/>
  <c r="S440" i="3"/>
  <c r="S428" i="3"/>
  <c r="S420" i="3"/>
  <c r="S412" i="3"/>
  <c r="S408" i="3"/>
  <c r="S376" i="3"/>
  <c r="S356" i="3"/>
  <c r="S340" i="3"/>
  <c r="S316" i="3"/>
  <c r="S308" i="3"/>
  <c r="S296" i="3"/>
  <c r="S288" i="3"/>
  <c r="S280" i="3"/>
  <c r="T280" i="3"/>
  <c r="T268" i="3"/>
  <c r="S264" i="3"/>
  <c r="T264" i="3"/>
  <c r="S256" i="3"/>
  <c r="S248" i="3"/>
  <c r="T248" i="3"/>
  <c r="S240" i="3"/>
  <c r="S232" i="3"/>
  <c r="T232" i="3"/>
  <c r="S224" i="3"/>
  <c r="S216" i="3"/>
  <c r="T216" i="3"/>
  <c r="T204" i="3"/>
  <c r="S200" i="3"/>
  <c r="T200" i="3"/>
  <c r="S192" i="3"/>
  <c r="S180" i="3"/>
  <c r="S156" i="3"/>
  <c r="T156" i="3"/>
  <c r="S144" i="3"/>
  <c r="T140" i="3"/>
  <c r="S136" i="3"/>
  <c r="T136" i="3"/>
  <c r="S128" i="3"/>
  <c r="S116" i="3"/>
  <c r="S88" i="3"/>
  <c r="T88" i="3"/>
  <c r="S56" i="3"/>
  <c r="T56" i="3"/>
  <c r="S28" i="3"/>
  <c r="T28" i="3"/>
  <c r="S20" i="3"/>
  <c r="S8" i="3"/>
  <c r="T8" i="3"/>
  <c r="S464" i="3"/>
  <c r="T524" i="3"/>
  <c r="T508" i="3"/>
  <c r="T492" i="3"/>
  <c r="T476" i="3"/>
  <c r="T436" i="3"/>
  <c r="T420" i="3"/>
  <c r="T404" i="3"/>
  <c r="T380" i="3"/>
  <c r="T364" i="3"/>
  <c r="T356" i="3"/>
  <c r="T340" i="3"/>
  <c r="T324" i="3"/>
  <c r="T308" i="3"/>
  <c r="T300" i="3"/>
  <c r="T292" i="3"/>
  <c r="T260" i="3"/>
  <c r="T196" i="3"/>
  <c r="T185" i="3"/>
  <c r="T164" i="3"/>
  <c r="T132" i="3"/>
  <c r="T100" i="3"/>
  <c r="T68" i="3"/>
  <c r="T57" i="3"/>
  <c r="T36" i="3"/>
  <c r="T563" i="3"/>
  <c r="S559" i="3"/>
  <c r="T559" i="3"/>
  <c r="T555" i="3"/>
  <c r="S551" i="3"/>
  <c r="T551" i="3"/>
  <c r="T547" i="3"/>
  <c r="S543" i="3"/>
  <c r="T543" i="3"/>
  <c r="T539" i="3"/>
  <c r="S535" i="3"/>
  <c r="T535" i="3"/>
  <c r="S531" i="3"/>
  <c r="T531" i="3"/>
  <c r="S527" i="3"/>
  <c r="T527" i="3"/>
  <c r="S523" i="3"/>
  <c r="T523" i="3"/>
  <c r="S519" i="3"/>
  <c r="T519" i="3"/>
  <c r="S515" i="3"/>
  <c r="T515" i="3"/>
  <c r="S511" i="3"/>
  <c r="T511" i="3"/>
  <c r="S507" i="3"/>
  <c r="T507" i="3"/>
  <c r="S503" i="3"/>
  <c r="T503" i="3"/>
  <c r="S499" i="3"/>
  <c r="T499" i="3"/>
  <c r="S495" i="3"/>
  <c r="T495" i="3"/>
  <c r="S491" i="3"/>
  <c r="T491" i="3"/>
  <c r="S487" i="3"/>
  <c r="T487" i="3"/>
  <c r="S483" i="3"/>
  <c r="T483" i="3"/>
  <c r="S479" i="3"/>
  <c r="T479" i="3"/>
  <c r="S475" i="3"/>
  <c r="T475" i="3"/>
  <c r="S471" i="3"/>
  <c r="T471" i="3"/>
  <c r="S467" i="3"/>
  <c r="T467" i="3"/>
  <c r="S463" i="3"/>
  <c r="T463" i="3"/>
  <c r="S459" i="3"/>
  <c r="T459" i="3"/>
  <c r="S455" i="3"/>
  <c r="T455" i="3"/>
  <c r="S451" i="3"/>
  <c r="T451" i="3"/>
  <c r="S447" i="3"/>
  <c r="T447" i="3"/>
  <c r="S443" i="3"/>
  <c r="T443" i="3"/>
  <c r="S439" i="3"/>
  <c r="T439" i="3"/>
  <c r="S435" i="3"/>
  <c r="T435" i="3"/>
  <c r="S431" i="3"/>
  <c r="T431" i="3"/>
  <c r="S427" i="3"/>
  <c r="T427" i="3"/>
  <c r="S423" i="3"/>
  <c r="T423" i="3"/>
  <c r="S419" i="3"/>
  <c r="T419" i="3"/>
  <c r="S415" i="3"/>
  <c r="T415" i="3"/>
  <c r="S411" i="3"/>
  <c r="T411" i="3"/>
  <c r="S407" i="3"/>
  <c r="T407" i="3"/>
  <c r="S403" i="3"/>
  <c r="T403" i="3"/>
  <c r="S399" i="3"/>
  <c r="T399" i="3"/>
  <c r="S395" i="3"/>
  <c r="T395" i="3"/>
  <c r="S391" i="3"/>
  <c r="T391" i="3"/>
  <c r="S387" i="3"/>
  <c r="T387" i="3"/>
  <c r="S383" i="3"/>
  <c r="T383" i="3"/>
  <c r="S379" i="3"/>
  <c r="T379" i="3"/>
  <c r="S375" i="3"/>
  <c r="T375" i="3"/>
  <c r="S371" i="3"/>
  <c r="T371" i="3"/>
  <c r="S367" i="3"/>
  <c r="T367" i="3"/>
  <c r="S363" i="3"/>
  <c r="T363" i="3"/>
  <c r="S359" i="3"/>
  <c r="T359" i="3"/>
  <c r="S355" i="3"/>
  <c r="T355" i="3"/>
  <c r="S351" i="3"/>
  <c r="T351" i="3"/>
  <c r="S347" i="3"/>
  <c r="T347" i="3"/>
  <c r="S343" i="3"/>
  <c r="T343" i="3"/>
  <c r="S339" i="3"/>
  <c r="T339" i="3"/>
  <c r="S335" i="3"/>
  <c r="T335" i="3"/>
  <c r="S331" i="3"/>
  <c r="T331" i="3"/>
  <c r="S327" i="3"/>
  <c r="T327" i="3"/>
  <c r="S323" i="3"/>
  <c r="T323" i="3"/>
  <c r="S319" i="3"/>
  <c r="T319" i="3"/>
  <c r="S315" i="3"/>
  <c r="T315" i="3"/>
  <c r="S311" i="3"/>
  <c r="T311" i="3"/>
  <c r="S307" i="3"/>
  <c r="T307" i="3"/>
  <c r="S303" i="3"/>
  <c r="T303" i="3"/>
  <c r="S299" i="3"/>
  <c r="T299" i="3"/>
  <c r="S295" i="3"/>
  <c r="T295" i="3"/>
  <c r="S291" i="3"/>
  <c r="T291" i="3"/>
  <c r="S287" i="3"/>
  <c r="S283" i="3"/>
  <c r="S279" i="3"/>
  <c r="T279" i="3"/>
  <c r="S275" i="3"/>
  <c r="T275" i="3"/>
  <c r="S271" i="3"/>
  <c r="S267" i="3"/>
  <c r="S263" i="3"/>
  <c r="T263" i="3"/>
  <c r="S259" i="3"/>
  <c r="T259" i="3"/>
  <c r="S255" i="3"/>
  <c r="S251" i="3"/>
  <c r="S247" i="3"/>
  <c r="T247" i="3"/>
  <c r="S243" i="3"/>
  <c r="T243" i="3"/>
  <c r="S239" i="3"/>
  <c r="S235" i="3"/>
  <c r="S231" i="3"/>
  <c r="T231" i="3"/>
  <c r="S227" i="3"/>
  <c r="T227" i="3"/>
  <c r="S223" i="3"/>
  <c r="S219" i="3"/>
  <c r="S215" i="3"/>
  <c r="T215" i="3"/>
  <c r="S211" i="3"/>
  <c r="T211" i="3"/>
  <c r="S207" i="3"/>
  <c r="S203" i="3"/>
  <c r="S199" i="3"/>
  <c r="T199" i="3"/>
  <c r="S195" i="3"/>
  <c r="T195" i="3"/>
  <c r="S191" i="3"/>
  <c r="S187" i="3"/>
  <c r="S183" i="3"/>
  <c r="T183" i="3"/>
  <c r="S179" i="3"/>
  <c r="T179" i="3"/>
  <c r="S175" i="3"/>
  <c r="S171" i="3"/>
  <c r="S167" i="3"/>
  <c r="T167" i="3"/>
  <c r="S163" i="3"/>
  <c r="T163" i="3"/>
  <c r="S159" i="3"/>
  <c r="S155" i="3"/>
  <c r="S151" i="3"/>
  <c r="T151" i="3"/>
  <c r="S147" i="3"/>
  <c r="T147" i="3"/>
  <c r="S143" i="3"/>
  <c r="S139" i="3"/>
  <c r="S135" i="3"/>
  <c r="T135" i="3"/>
  <c r="S131" i="3"/>
  <c r="T131" i="3"/>
  <c r="S127" i="3"/>
  <c r="S123" i="3"/>
  <c r="S119" i="3"/>
  <c r="T119" i="3"/>
  <c r="S115" i="3"/>
  <c r="T115" i="3"/>
  <c r="S111" i="3"/>
  <c r="S107" i="3"/>
  <c r="S103" i="3"/>
  <c r="T103" i="3"/>
  <c r="S99" i="3"/>
  <c r="T99" i="3"/>
  <c r="S95" i="3"/>
  <c r="S91" i="3"/>
  <c r="S87" i="3"/>
  <c r="T87" i="3"/>
  <c r="S83" i="3"/>
  <c r="T83" i="3"/>
  <c r="S79" i="3"/>
  <c r="S75" i="3"/>
  <c r="S71" i="3"/>
  <c r="T71" i="3"/>
  <c r="S67" i="3"/>
  <c r="T67" i="3"/>
  <c r="S63" i="3"/>
  <c r="S59" i="3"/>
  <c r="S55" i="3"/>
  <c r="T55" i="3"/>
  <c r="S51" i="3"/>
  <c r="T51" i="3"/>
  <c r="S47" i="3"/>
  <c r="S43" i="3"/>
  <c r="S39" i="3"/>
  <c r="T39" i="3"/>
  <c r="S35" i="3"/>
  <c r="T35" i="3"/>
  <c r="S31" i="3"/>
  <c r="S27" i="3"/>
  <c r="S23" i="3"/>
  <c r="T23" i="3"/>
  <c r="S19" i="3"/>
  <c r="T19" i="3"/>
  <c r="S15" i="3"/>
  <c r="T15" i="3"/>
  <c r="S11" i="3"/>
  <c r="T11" i="3"/>
  <c r="S7" i="3"/>
  <c r="T7" i="3"/>
  <c r="S3" i="3"/>
  <c r="T3" i="3"/>
  <c r="S683" i="3"/>
  <c r="S651" i="3"/>
  <c r="S619" i="3"/>
  <c r="S587" i="3"/>
  <c r="S555" i="3"/>
  <c r="S512" i="3"/>
  <c r="S448" i="3"/>
  <c r="S384" i="3"/>
  <c r="S300" i="3"/>
  <c r="T694" i="3"/>
  <c r="T686" i="3"/>
  <c r="T678" i="3"/>
  <c r="T670" i="3"/>
  <c r="T662" i="3"/>
  <c r="T654" i="3"/>
  <c r="T646" i="3"/>
  <c r="T632" i="3"/>
  <c r="T627" i="3"/>
  <c r="T621" i="3"/>
  <c r="T611" i="3"/>
  <c r="T600" i="3"/>
  <c r="T595" i="3"/>
  <c r="T584" i="3"/>
  <c r="T579" i="3"/>
  <c r="T573" i="3"/>
  <c r="T553" i="3"/>
  <c r="T545" i="3"/>
  <c r="T537" i="3"/>
  <c r="T489" i="3"/>
  <c r="T481" i="3"/>
  <c r="T473" i="3"/>
  <c r="T441" i="3"/>
  <c r="T433" i="3"/>
  <c r="T425" i="3"/>
  <c r="T417" i="3"/>
  <c r="T409" i="3"/>
  <c r="T401" i="3"/>
  <c r="T393" i="3"/>
  <c r="T385" i="3"/>
  <c r="T377" i="3"/>
  <c r="T369" i="3"/>
  <c r="T361" i="3"/>
  <c r="T337" i="3"/>
  <c r="T329" i="3"/>
  <c r="T321" i="3"/>
  <c r="T313" i="3"/>
  <c r="T288" i="3"/>
  <c r="T277" i="3"/>
  <c r="T267" i="3"/>
  <c r="T256" i="3"/>
  <c r="T245" i="3"/>
  <c r="T235" i="3"/>
  <c r="T224" i="3"/>
  <c r="T203" i="3"/>
  <c r="T192" i="3"/>
  <c r="T171" i="3"/>
  <c r="T149" i="3"/>
  <c r="T139" i="3"/>
  <c r="T128" i="3"/>
  <c r="T117" i="3"/>
  <c r="T107" i="3"/>
  <c r="T75" i="3"/>
  <c r="T43" i="3"/>
  <c r="T21" i="3"/>
  <c r="S697" i="3"/>
  <c r="S689" i="3"/>
  <c r="S681" i="3"/>
  <c r="S673" i="3"/>
  <c r="S669" i="3"/>
  <c r="S661" i="3"/>
  <c r="S653" i="3"/>
  <c r="S649" i="3"/>
  <c r="S637" i="3"/>
  <c r="S633" i="3"/>
  <c r="S625" i="3"/>
  <c r="S617" i="3"/>
  <c r="S613" i="3"/>
  <c r="S605" i="3"/>
  <c r="S597" i="3"/>
  <c r="S589" i="3"/>
  <c r="S585" i="3"/>
  <c r="S577" i="3"/>
  <c r="S569" i="3"/>
  <c r="S565" i="3"/>
  <c r="S561" i="3"/>
  <c r="S557" i="3"/>
  <c r="S549" i="3"/>
  <c r="S541" i="3"/>
  <c r="S533" i="3"/>
  <c r="S529" i="3"/>
  <c r="S521" i="3"/>
  <c r="S513" i="3"/>
  <c r="S505" i="3"/>
  <c r="S497" i="3"/>
  <c r="S493" i="3"/>
  <c r="S485" i="3"/>
  <c r="S477" i="3"/>
  <c r="S465" i="3"/>
  <c r="S457" i="3"/>
  <c r="S449" i="3"/>
  <c r="S445" i="3"/>
  <c r="S437" i="3"/>
  <c r="S429" i="3"/>
  <c r="S421" i="3"/>
  <c r="S413" i="3"/>
  <c r="S405" i="3"/>
  <c r="S397" i="3"/>
  <c r="S357" i="3"/>
  <c r="S353" i="3"/>
  <c r="S345" i="3"/>
  <c r="S317" i="3"/>
  <c r="S305" i="3"/>
  <c r="S297" i="3"/>
  <c r="S289" i="3"/>
  <c r="T289" i="3"/>
  <c r="S281" i="3"/>
  <c r="S273" i="3"/>
  <c r="T273" i="3"/>
  <c r="S265" i="3"/>
  <c r="S257" i="3"/>
  <c r="T257" i="3"/>
  <c r="S249" i="3"/>
  <c r="S241" i="3"/>
  <c r="T241" i="3"/>
  <c r="S233" i="3"/>
  <c r="S229" i="3"/>
  <c r="S221" i="3"/>
  <c r="T221" i="3"/>
  <c r="S213" i="3"/>
  <c r="S205" i="3"/>
  <c r="T205" i="3"/>
  <c r="S197" i="3"/>
  <c r="S189" i="3"/>
  <c r="T189" i="3"/>
  <c r="S181" i="3"/>
  <c r="S173" i="3"/>
  <c r="T173" i="3"/>
  <c r="S169" i="3"/>
  <c r="S161" i="3"/>
  <c r="T161" i="3"/>
  <c r="S153" i="3"/>
  <c r="S141" i="3"/>
  <c r="T141" i="3"/>
  <c r="S133" i="3"/>
  <c r="S129" i="3"/>
  <c r="T129" i="3"/>
  <c r="S121" i="3"/>
  <c r="S113" i="3"/>
  <c r="T113" i="3"/>
  <c r="S105" i="3"/>
  <c r="S97" i="3"/>
  <c r="T97" i="3"/>
  <c r="S93" i="3"/>
  <c r="T93" i="3"/>
  <c r="S85" i="3"/>
  <c r="S77" i="3"/>
  <c r="T77" i="3"/>
  <c r="S69" i="3"/>
  <c r="S65" i="3"/>
  <c r="T65" i="3"/>
  <c r="S53" i="3"/>
  <c r="S45" i="3"/>
  <c r="T45" i="3"/>
  <c r="S37" i="3"/>
  <c r="S33" i="3"/>
  <c r="T33" i="3"/>
  <c r="S25" i="3"/>
  <c r="S17" i="3"/>
  <c r="T17" i="3"/>
  <c r="S13" i="3"/>
  <c r="S5" i="3"/>
  <c r="T629" i="3"/>
  <c r="T581" i="3"/>
  <c r="T557" i="3"/>
  <c r="T541" i="3"/>
  <c r="T525" i="3"/>
  <c r="T509" i="3"/>
  <c r="T493" i="3"/>
  <c r="T485" i="3"/>
  <c r="T469" i="3"/>
  <c r="T453" i="3"/>
  <c r="T437" i="3"/>
  <c r="T429" i="3"/>
  <c r="T413" i="3"/>
  <c r="T397" i="3"/>
  <c r="T381" i="3"/>
  <c r="T365" i="3"/>
  <c r="T349" i="3"/>
  <c r="T333" i="3"/>
  <c r="T325" i="3"/>
  <c r="T309" i="3"/>
  <c r="T293" i="3"/>
  <c r="T261" i="3"/>
  <c r="T229" i="3"/>
  <c r="T197" i="3"/>
  <c r="T165" i="3"/>
  <c r="T133" i="3"/>
  <c r="T13" i="3"/>
  <c r="S696" i="3"/>
  <c r="S692" i="3"/>
  <c r="S684" i="3"/>
  <c r="S676" i="3"/>
  <c r="S672" i="3"/>
  <c r="S664" i="3"/>
  <c r="S656" i="3"/>
  <c r="S652" i="3"/>
  <c r="S644" i="3"/>
  <c r="S636" i="3"/>
  <c r="S628" i="3"/>
  <c r="S624" i="3"/>
  <c r="S616" i="3"/>
  <c r="S608" i="3"/>
  <c r="S604" i="3"/>
  <c r="S596" i="3"/>
  <c r="S588" i="3"/>
  <c r="S580" i="3"/>
  <c r="S576" i="3"/>
  <c r="S568" i="3"/>
  <c r="S564" i="3"/>
  <c r="S556" i="3"/>
  <c r="S548" i="3"/>
  <c r="S540" i="3"/>
  <c r="S536" i="3"/>
  <c r="S520" i="3"/>
  <c r="S460" i="3"/>
  <c r="S452" i="3"/>
  <c r="S444" i="3"/>
  <c r="S396" i="3"/>
  <c r="S388" i="3"/>
  <c r="S372" i="3"/>
  <c r="S360" i="3"/>
  <c r="S344" i="3"/>
  <c r="S336" i="3"/>
  <c r="S328" i="3"/>
  <c r="S320" i="3"/>
  <c r="S312" i="3"/>
  <c r="S304" i="3"/>
  <c r="S284" i="3"/>
  <c r="T284" i="3"/>
  <c r="S276" i="3"/>
  <c r="S272" i="3"/>
  <c r="S252" i="3"/>
  <c r="T252" i="3"/>
  <c r="S244" i="3"/>
  <c r="T236" i="3"/>
  <c r="S220" i="3"/>
  <c r="T220" i="3"/>
  <c r="S212" i="3"/>
  <c r="S208" i="3"/>
  <c r="S188" i="3"/>
  <c r="T188" i="3"/>
  <c r="S184" i="3"/>
  <c r="T184" i="3"/>
  <c r="S176" i="3"/>
  <c r="T172" i="3"/>
  <c r="S168" i="3"/>
  <c r="T168" i="3"/>
  <c r="S160" i="3"/>
  <c r="S152" i="3"/>
  <c r="T152" i="3"/>
  <c r="S148" i="3"/>
  <c r="S124" i="3"/>
  <c r="T124" i="3"/>
  <c r="S120" i="3"/>
  <c r="T120" i="3"/>
  <c r="S112" i="3"/>
  <c r="T108" i="3"/>
  <c r="S104" i="3"/>
  <c r="T104" i="3"/>
  <c r="S96" i="3"/>
  <c r="S92" i="3"/>
  <c r="T92" i="3"/>
  <c r="S84" i="3"/>
  <c r="S80" i="3"/>
  <c r="S76" i="3"/>
  <c r="T76" i="3"/>
  <c r="S72" i="3"/>
  <c r="T72" i="3"/>
  <c r="S64" i="3"/>
  <c r="S60" i="3"/>
  <c r="T60" i="3"/>
  <c r="S52" i="3"/>
  <c r="S48" i="3"/>
  <c r="S44" i="3"/>
  <c r="T44" i="3"/>
  <c r="S40" i="3"/>
  <c r="T40" i="3"/>
  <c r="S32" i="3"/>
  <c r="S24" i="3"/>
  <c r="T24" i="3"/>
  <c r="S16" i="3"/>
  <c r="T16" i="3"/>
  <c r="S12" i="3"/>
  <c r="S4" i="3"/>
  <c r="S528" i="3"/>
  <c r="S400" i="3"/>
  <c r="S332" i="3"/>
  <c r="S204" i="3"/>
  <c r="T617" i="3"/>
  <c r="T612" i="3"/>
  <c r="T601" i="3"/>
  <c r="T585" i="3"/>
  <c r="T580" i="3"/>
  <c r="T569" i="3"/>
  <c r="T556" i="3"/>
  <c r="T540" i="3"/>
  <c r="T532" i="3"/>
  <c r="T516" i="3"/>
  <c r="T500" i="3"/>
  <c r="T484" i="3"/>
  <c r="T468" i="3"/>
  <c r="T452" i="3"/>
  <c r="T444" i="3"/>
  <c r="T428" i="3"/>
  <c r="T412" i="3"/>
  <c r="T396" i="3"/>
  <c r="T388" i="3"/>
  <c r="T372" i="3"/>
  <c r="T348" i="3"/>
  <c r="T332" i="3"/>
  <c r="T316" i="3"/>
  <c r="T228" i="3"/>
  <c r="T217" i="3"/>
  <c r="T153" i="3"/>
  <c r="T89" i="3"/>
  <c r="T25" i="3"/>
  <c r="S698" i="3"/>
  <c r="S690" i="3"/>
  <c r="S682" i="3"/>
  <c r="S674" i="3"/>
  <c r="S666" i="3"/>
  <c r="S658" i="3"/>
  <c r="S650" i="3"/>
  <c r="S642" i="3"/>
  <c r="S638" i="3"/>
  <c r="T638" i="3"/>
  <c r="S634" i="3"/>
  <c r="T634" i="3"/>
  <c r="S630" i="3"/>
  <c r="T630" i="3"/>
  <c r="S626" i="3"/>
  <c r="T626" i="3"/>
  <c r="S622" i="3"/>
  <c r="T622" i="3"/>
  <c r="S618" i="3"/>
  <c r="T618" i="3"/>
  <c r="S614" i="3"/>
  <c r="T614" i="3"/>
  <c r="S610" i="3"/>
  <c r="T610" i="3"/>
  <c r="S606" i="3"/>
  <c r="T606" i="3"/>
  <c r="S602" i="3"/>
  <c r="T602" i="3"/>
  <c r="S598" i="3"/>
  <c r="T598" i="3"/>
  <c r="S594" i="3"/>
  <c r="T594" i="3"/>
  <c r="S590" i="3"/>
  <c r="T590" i="3"/>
  <c r="S586" i="3"/>
  <c r="T586" i="3"/>
  <c r="S582" i="3"/>
  <c r="T582" i="3"/>
  <c r="S578" i="3"/>
  <c r="T578" i="3"/>
  <c r="S574" i="3"/>
  <c r="T574" i="3"/>
  <c r="S570" i="3"/>
  <c r="T570" i="3"/>
  <c r="S566" i="3"/>
  <c r="T566" i="3"/>
  <c r="S562" i="3"/>
  <c r="T562" i="3"/>
  <c r="S558" i="3"/>
  <c r="T558" i="3"/>
  <c r="S554" i="3"/>
  <c r="T554" i="3"/>
  <c r="S550" i="3"/>
  <c r="T550" i="3"/>
  <c r="S546" i="3"/>
  <c r="T546" i="3"/>
  <c r="S542" i="3"/>
  <c r="T542" i="3"/>
  <c r="S538" i="3"/>
  <c r="T538" i="3"/>
  <c r="S534" i="3"/>
  <c r="T534" i="3"/>
  <c r="S530" i="3"/>
  <c r="T530" i="3"/>
  <c r="S526" i="3"/>
  <c r="T526" i="3"/>
  <c r="S522" i="3"/>
  <c r="T522" i="3"/>
  <c r="S518" i="3"/>
  <c r="T518" i="3"/>
  <c r="S514" i="3"/>
  <c r="T514" i="3"/>
  <c r="S510" i="3"/>
  <c r="T510" i="3"/>
  <c r="S506" i="3"/>
  <c r="T506" i="3"/>
  <c r="S502" i="3"/>
  <c r="T502" i="3"/>
  <c r="S498" i="3"/>
  <c r="T498" i="3"/>
  <c r="S494" i="3"/>
  <c r="T494" i="3"/>
  <c r="S490" i="3"/>
  <c r="T490" i="3"/>
  <c r="S486" i="3"/>
  <c r="T486" i="3"/>
  <c r="S482" i="3"/>
  <c r="T482" i="3"/>
  <c r="S478" i="3"/>
  <c r="T478" i="3"/>
  <c r="S474" i="3"/>
  <c r="T474" i="3"/>
  <c r="S470" i="3"/>
  <c r="T470" i="3"/>
  <c r="S466" i="3"/>
  <c r="T466" i="3"/>
  <c r="S462" i="3"/>
  <c r="T462" i="3"/>
  <c r="S458" i="3"/>
  <c r="T458" i="3"/>
  <c r="S454" i="3"/>
  <c r="T454" i="3"/>
  <c r="S450" i="3"/>
  <c r="T450" i="3"/>
  <c r="S446" i="3"/>
  <c r="T446" i="3"/>
  <c r="S442" i="3"/>
  <c r="T442" i="3"/>
  <c r="S438" i="3"/>
  <c r="T438" i="3"/>
  <c r="S434" i="3"/>
  <c r="T434" i="3"/>
  <c r="S430" i="3"/>
  <c r="T430" i="3"/>
  <c r="S426" i="3"/>
  <c r="T426" i="3"/>
  <c r="S422" i="3"/>
  <c r="T422" i="3"/>
  <c r="S418" i="3"/>
  <c r="T418" i="3"/>
  <c r="S414" i="3"/>
  <c r="T414" i="3"/>
  <c r="S410" i="3"/>
  <c r="T410" i="3"/>
  <c r="S406" i="3"/>
  <c r="T406" i="3"/>
  <c r="S402" i="3"/>
  <c r="T402" i="3"/>
  <c r="S398" i="3"/>
  <c r="T398" i="3"/>
  <c r="S394" i="3"/>
  <c r="T394" i="3"/>
  <c r="S390" i="3"/>
  <c r="T390" i="3"/>
  <c r="S386" i="3"/>
  <c r="T386" i="3"/>
  <c r="S382" i="3"/>
  <c r="T382" i="3"/>
  <c r="S378" i="3"/>
  <c r="T378" i="3"/>
  <c r="S374" i="3"/>
  <c r="T374" i="3"/>
  <c r="S370" i="3"/>
  <c r="T370" i="3"/>
  <c r="S366" i="3"/>
  <c r="T366" i="3"/>
  <c r="S362" i="3"/>
  <c r="T362" i="3"/>
  <c r="S358" i="3"/>
  <c r="T358" i="3"/>
  <c r="S354" i="3"/>
  <c r="T354" i="3"/>
  <c r="S350" i="3"/>
  <c r="T350" i="3"/>
  <c r="S346" i="3"/>
  <c r="T346" i="3"/>
  <c r="S342" i="3"/>
  <c r="T342" i="3"/>
  <c r="S338" i="3"/>
  <c r="T338" i="3"/>
  <c r="S334" i="3"/>
  <c r="T334" i="3"/>
  <c r="S330" i="3"/>
  <c r="T330" i="3"/>
  <c r="S326" i="3"/>
  <c r="T326" i="3"/>
  <c r="S322" i="3"/>
  <c r="T322" i="3"/>
  <c r="S318" i="3"/>
  <c r="T318" i="3"/>
  <c r="S314" i="3"/>
  <c r="T314" i="3"/>
  <c r="S310" i="3"/>
  <c r="T310" i="3"/>
  <c r="S306" i="3"/>
  <c r="T306" i="3"/>
  <c r="S302" i="3"/>
  <c r="T302" i="3"/>
  <c r="S298" i="3"/>
  <c r="T298" i="3"/>
  <c r="S294" i="3"/>
  <c r="T294" i="3"/>
  <c r="S290" i="3"/>
  <c r="T290" i="3"/>
  <c r="S286" i="3"/>
  <c r="T286" i="3"/>
  <c r="S282" i="3"/>
  <c r="T282" i="3"/>
  <c r="S278" i="3"/>
  <c r="T278" i="3"/>
  <c r="S274" i="3"/>
  <c r="T274" i="3"/>
  <c r="S270" i="3"/>
  <c r="T270" i="3"/>
  <c r="S266" i="3"/>
  <c r="T266" i="3"/>
  <c r="S262" i="3"/>
  <c r="T262" i="3"/>
  <c r="S258" i="3"/>
  <c r="T258" i="3"/>
  <c r="S254" i="3"/>
  <c r="T254" i="3"/>
  <c r="S250" i="3"/>
  <c r="T250" i="3"/>
  <c r="S246" i="3"/>
  <c r="T246" i="3"/>
  <c r="S242" i="3"/>
  <c r="T242" i="3"/>
  <c r="S238" i="3"/>
  <c r="T238" i="3"/>
  <c r="S234" i="3"/>
  <c r="T234" i="3"/>
  <c r="S230" i="3"/>
  <c r="T230" i="3"/>
  <c r="S226" i="3"/>
  <c r="T226" i="3"/>
  <c r="S222" i="3"/>
  <c r="T222" i="3"/>
  <c r="S218" i="3"/>
  <c r="T218" i="3"/>
  <c r="S214" i="3"/>
  <c r="T214" i="3"/>
  <c r="S210" i="3"/>
  <c r="T210" i="3"/>
  <c r="S206" i="3"/>
  <c r="T206" i="3"/>
  <c r="S202" i="3"/>
  <c r="T202" i="3"/>
  <c r="S198" i="3"/>
  <c r="T198" i="3"/>
  <c r="S194" i="3"/>
  <c r="T194" i="3"/>
  <c r="S190" i="3"/>
  <c r="T190" i="3"/>
  <c r="S186" i="3"/>
  <c r="T186" i="3"/>
  <c r="S182" i="3"/>
  <c r="T182" i="3"/>
  <c r="S178" i="3"/>
  <c r="T178" i="3"/>
  <c r="S174" i="3"/>
  <c r="T174" i="3"/>
  <c r="S170" i="3"/>
  <c r="T170" i="3"/>
  <c r="S166" i="3"/>
  <c r="T166" i="3"/>
  <c r="S162" i="3"/>
  <c r="T162" i="3"/>
  <c r="S158" i="3"/>
  <c r="T158" i="3"/>
  <c r="S154" i="3"/>
  <c r="T154" i="3"/>
  <c r="S150" i="3"/>
  <c r="T150" i="3"/>
  <c r="S146" i="3"/>
  <c r="T146" i="3"/>
  <c r="S142" i="3"/>
  <c r="T142" i="3"/>
  <c r="S138" i="3"/>
  <c r="T138" i="3"/>
  <c r="S134" i="3"/>
  <c r="T134" i="3"/>
  <c r="S130" i="3"/>
  <c r="T130" i="3"/>
  <c r="S126" i="3"/>
  <c r="T126" i="3"/>
  <c r="S122" i="3"/>
  <c r="T122" i="3"/>
  <c r="S118" i="3"/>
  <c r="T118" i="3"/>
  <c r="S114" i="3"/>
  <c r="T114" i="3"/>
  <c r="S110" i="3"/>
  <c r="T110" i="3"/>
  <c r="S106" i="3"/>
  <c r="T106" i="3"/>
  <c r="S102" i="3"/>
  <c r="T102" i="3"/>
  <c r="S98" i="3"/>
  <c r="T98" i="3"/>
  <c r="S94" i="3"/>
  <c r="T94" i="3"/>
  <c r="S90" i="3"/>
  <c r="T90" i="3"/>
  <c r="S86" i="3"/>
  <c r="T86" i="3"/>
  <c r="S82" i="3"/>
  <c r="T82" i="3"/>
  <c r="S78" i="3"/>
  <c r="T78" i="3"/>
  <c r="S74" i="3"/>
  <c r="T74" i="3"/>
  <c r="S70" i="3"/>
  <c r="T70" i="3"/>
  <c r="S66" i="3"/>
  <c r="T66" i="3"/>
  <c r="S62" i="3"/>
  <c r="T62" i="3"/>
  <c r="S58" i="3"/>
  <c r="T58" i="3"/>
  <c r="S54" i="3"/>
  <c r="T54" i="3"/>
  <c r="S50" i="3"/>
  <c r="T50" i="3"/>
  <c r="S46" i="3"/>
  <c r="T46" i="3"/>
  <c r="S42" i="3"/>
  <c r="T42" i="3"/>
  <c r="S38" i="3"/>
  <c r="T38" i="3"/>
  <c r="S34" i="3"/>
  <c r="T34" i="3"/>
  <c r="S30" i="3"/>
  <c r="T30" i="3"/>
  <c r="S26" i="3"/>
  <c r="T26" i="3"/>
  <c r="S22" i="3"/>
  <c r="T22" i="3"/>
  <c r="S18" i="3"/>
  <c r="T18" i="3"/>
  <c r="S14" i="3"/>
  <c r="T14" i="3"/>
  <c r="S10" i="3"/>
  <c r="T10" i="3"/>
  <c r="S6" i="3"/>
  <c r="T6" i="3"/>
  <c r="S2" i="3"/>
  <c r="T2" i="3"/>
  <c r="S675" i="3"/>
  <c r="S643" i="3"/>
  <c r="S611" i="3"/>
  <c r="S579" i="3"/>
  <c r="S547" i="3"/>
  <c r="S496" i="3"/>
  <c r="S432" i="3"/>
  <c r="S368" i="3"/>
  <c r="S268" i="3"/>
  <c r="S140" i="3"/>
  <c r="T697" i="3"/>
  <c r="T693" i="3"/>
  <c r="T689" i="3"/>
  <c r="T685" i="3"/>
  <c r="T681" i="3"/>
  <c r="T677" i="3"/>
  <c r="T673" i="3"/>
  <c r="T669" i="3"/>
  <c r="T665" i="3"/>
  <c r="T661" i="3"/>
  <c r="T657" i="3"/>
  <c r="T653" i="3"/>
  <c r="T649" i="3"/>
  <c r="T645" i="3"/>
  <c r="T641" i="3"/>
  <c r="T636" i="3"/>
  <c r="T631" i="3"/>
  <c r="T625" i="3"/>
  <c r="T620" i="3"/>
  <c r="T615" i="3"/>
  <c r="T609" i="3"/>
  <c r="T604" i="3"/>
  <c r="T599" i="3"/>
  <c r="T593" i="3"/>
  <c r="T588" i="3"/>
  <c r="T583" i="3"/>
  <c r="T577" i="3"/>
  <c r="T572" i="3"/>
  <c r="T567" i="3"/>
  <c r="T560" i="3"/>
  <c r="T552" i="3"/>
  <c r="T544" i="3"/>
  <c r="T536" i="3"/>
  <c r="T528" i="3"/>
  <c r="T520" i="3"/>
  <c r="T512" i="3"/>
  <c r="T504" i="3"/>
  <c r="T496" i="3"/>
  <c r="T488" i="3"/>
  <c r="T480" i="3"/>
  <c r="T472" i="3"/>
  <c r="T464" i="3"/>
  <c r="T456" i="3"/>
  <c r="T448" i="3"/>
  <c r="T440" i="3"/>
  <c r="T432" i="3"/>
  <c r="T424" i="3"/>
  <c r="T416" i="3"/>
  <c r="T408" i="3"/>
  <c r="T400" i="3"/>
  <c r="T392" i="3"/>
  <c r="T384" i="3"/>
  <c r="T376" i="3"/>
  <c r="T368" i="3"/>
  <c r="T360" i="3"/>
  <c r="T352" i="3"/>
  <c r="T344" i="3"/>
  <c r="T336" i="3"/>
  <c r="T328" i="3"/>
  <c r="T320" i="3"/>
  <c r="T312" i="3"/>
  <c r="T304" i="3"/>
  <c r="T296" i="3"/>
  <c r="T287" i="3"/>
  <c r="T276" i="3"/>
  <c r="T265" i="3"/>
  <c r="T255" i="3"/>
  <c r="T244" i="3"/>
  <c r="T233" i="3"/>
  <c r="T223" i="3"/>
  <c r="T212" i="3"/>
  <c r="T201" i="3"/>
  <c r="T191" i="3"/>
  <c r="T180" i="3"/>
  <c r="T169" i="3"/>
  <c r="T159" i="3"/>
  <c r="T148" i="3"/>
  <c r="T137" i="3"/>
  <c r="T127" i="3"/>
  <c r="T116" i="3"/>
  <c r="T105" i="3"/>
  <c r="T95" i="3"/>
  <c r="T84" i="3"/>
  <c r="T73" i="3"/>
  <c r="T63" i="3"/>
  <c r="T52" i="3"/>
  <c r="T41" i="3"/>
  <c r="T31" i="3"/>
  <c r="T20" i="3"/>
  <c r="T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3F1FEC-DF33-470D-BB25-72905D5A781B}" keepAlive="1" name="Query - digital_banking_transactions" description="Connection to the 'digital_banking_transactions' query in the workbook." type="5" refreshedVersion="8" background="1" saveData="1">
    <dbPr connection="Provider=Microsoft.Mashup.OleDb.1;Data Source=$Workbook$;Location=digital_banking_transactions;Extended Properties=&quot;&quot;" command="SELECT * FROM [digital_banking_transactions]"/>
  </connection>
  <connection id="2" xr16:uid="{FD28CB38-F0EA-40D7-A233-57FD52277594}" keepAlive="1" name="Query - digital_banking_transactions (2)" description="Connection to the 'digital_banking_transactions (2)' query in the workbook." type="5" refreshedVersion="8" background="1" saveData="1">
    <dbPr connection="Provider=Microsoft.Mashup.OleDb.1;Data Source=$Workbook$;Location=&quot;digital_banking_transactions (2)&quot;;Extended Properties=&quot;&quot;" command="SELECT * FROM [digital_banking_transactions (2)]"/>
  </connection>
</connections>
</file>

<file path=xl/sharedStrings.xml><?xml version="1.0" encoding="utf-8"?>
<sst xmlns="http://schemas.openxmlformats.org/spreadsheetml/2006/main" count="14379" uniqueCount="2871">
  <si>
    <t>ID_Transaksi</t>
  </si>
  <si>
    <t>Tanggal_Waktu</t>
  </si>
  <si>
    <t>ID_Nasabah</t>
  </si>
  <si>
    <t>Channel</t>
  </si>
  <si>
    <t>Jenis_Transaksi</t>
  </si>
  <si>
    <t>Nominal</t>
  </si>
  <si>
    <t>Status</t>
  </si>
  <si>
    <t>Wilayah</t>
  </si>
  <si>
    <t>Bank_Tujuan</t>
  </si>
  <si>
    <t>OS_Device</t>
  </si>
  <si>
    <t>Biaya_Admin</t>
  </si>
  <si>
    <t>Response_Time_ms</t>
  </si>
  <si>
    <t>Jam_Tidak_Wajar</t>
  </si>
  <si>
    <t>TRX779831</t>
  </si>
  <si>
    <t>2024/11/05</t>
  </si>
  <si>
    <t>CIF19463</t>
  </si>
  <si>
    <t>ATM</t>
  </si>
  <si>
    <t>Pembayaran</t>
  </si>
  <si>
    <t>48004739</t>
  </si>
  <si>
    <t>berhasil</t>
  </si>
  <si>
    <t>Surabaya</t>
  </si>
  <si>
    <t/>
  </si>
  <si>
    <t>TRX633036</t>
  </si>
  <si>
    <t>24 Jul 2024</t>
  </si>
  <si>
    <t>CIF60374</t>
  </si>
  <si>
    <t>Mobile Banking</t>
  </si>
  <si>
    <t>214002,00</t>
  </si>
  <si>
    <t>SUKSES</t>
  </si>
  <si>
    <t>TRX833248</t>
  </si>
  <si>
    <t>04-11-2024 02:49:49</t>
  </si>
  <si>
    <t>CIF55185</t>
  </si>
  <si>
    <t>atm</t>
  </si>
  <si>
    <t>Pembelian</t>
  </si>
  <si>
    <t>147782</t>
  </si>
  <si>
    <t>success</t>
  </si>
  <si>
    <t>Jember</t>
  </si>
  <si>
    <t>TRX488712</t>
  </si>
  <si>
    <t>09/06/2024 13:02</t>
  </si>
  <si>
    <t>CIF43728</t>
  </si>
  <si>
    <t>Tarik Tunai</t>
  </si>
  <si>
    <t>300094.00</t>
  </si>
  <si>
    <t>Pending</t>
  </si>
  <si>
    <t>Sidoarjo</t>
  </si>
  <si>
    <t>TRX631981</t>
  </si>
  <si>
    <t>2024-02-07 09:29:28</t>
  </si>
  <si>
    <t>CIF52143</t>
  </si>
  <si>
    <t>Edc</t>
  </si>
  <si>
    <t>46272514</t>
  </si>
  <si>
    <t>menunggu</t>
  </si>
  <si>
    <t>TRX233827</t>
  </si>
  <si>
    <t>2024/11/14</t>
  </si>
  <si>
    <t>CIF46471</t>
  </si>
  <si>
    <t>Transfer</t>
  </si>
  <si>
    <t>4095464</t>
  </si>
  <si>
    <t>Gresik</t>
  </si>
  <si>
    <t>TRX267414</t>
  </si>
  <si>
    <t>23/12/2024 13:21</t>
  </si>
  <si>
    <t>CIF59615</t>
  </si>
  <si>
    <t>EDC</t>
  </si>
  <si>
    <t>63587</t>
  </si>
  <si>
    <t>Malang</t>
  </si>
  <si>
    <t>TRX134305</t>
  </si>
  <si>
    <t>2024/12/19</t>
  </si>
  <si>
    <t>CIF96870</t>
  </si>
  <si>
    <t>Rp 41,538,485</t>
  </si>
  <si>
    <t>Gagal</t>
  </si>
  <si>
    <t>BRI</t>
  </si>
  <si>
    <t>TRX518832</t>
  </si>
  <si>
    <t>2024/09/18</t>
  </si>
  <si>
    <t>CIF44669</t>
  </si>
  <si>
    <t>Rp454108</t>
  </si>
  <si>
    <t>Android</t>
  </si>
  <si>
    <t>TRX415508</t>
  </si>
  <si>
    <t>2024-11-17 09:46:59</t>
  </si>
  <si>
    <t>CIF61211</t>
  </si>
  <si>
    <t>Internet Banking</t>
  </si>
  <si>
    <t>Rp 15,269,138</t>
  </si>
  <si>
    <t>Mojokerto</t>
  </si>
  <si>
    <t>Bank Jatim</t>
  </si>
  <si>
    <t>Windows</t>
  </si>
  <si>
    <t>TRX172827</t>
  </si>
  <si>
    <t>2024/03/14</t>
  </si>
  <si>
    <t>CIF94473</t>
  </si>
  <si>
    <t>0</t>
  </si>
  <si>
    <t>BANK JATIM</t>
  </si>
  <si>
    <t>TRX935635</t>
  </si>
  <si>
    <t>2024-12-06 05:46:10</t>
  </si>
  <si>
    <t>CIF32756</t>
  </si>
  <si>
    <t>179177.00</t>
  </si>
  <si>
    <t>gagal</t>
  </si>
  <si>
    <t>TRX250069</t>
  </si>
  <si>
    <t>2024/04/28</t>
  </si>
  <si>
    <t>CIF69878</t>
  </si>
  <si>
    <t>mobile banking</t>
  </si>
  <si>
    <t>Top Up</t>
  </si>
  <si>
    <t>482493,00</t>
  </si>
  <si>
    <t>Madiun</t>
  </si>
  <si>
    <t>TRX457140</t>
  </si>
  <si>
    <t>12/06/2024 11:52</t>
  </si>
  <si>
    <t>CIF20891</t>
  </si>
  <si>
    <t>Rp 1,926,175</t>
  </si>
  <si>
    <t>TRX491704</t>
  </si>
  <si>
    <t>29/10/2024 03:53</t>
  </si>
  <si>
    <t>CIF37704</t>
  </si>
  <si>
    <t>44876372</t>
  </si>
  <si>
    <t>PENDING</t>
  </si>
  <si>
    <t>Kediri</t>
  </si>
  <si>
    <t>TRX416722</t>
  </si>
  <si>
    <t>13/03/2024 08:29</t>
  </si>
  <si>
    <t>CIF18294</t>
  </si>
  <si>
    <t>Atm</t>
  </si>
  <si>
    <t>471525,00</t>
  </si>
  <si>
    <t>BSI</t>
  </si>
  <si>
    <t>TRX230344</t>
  </si>
  <si>
    <t>06-06-2024 18:42:20</t>
  </si>
  <si>
    <t>CIF46234</t>
  </si>
  <si>
    <t>4190226.00</t>
  </si>
  <si>
    <t>TRX541314</t>
  </si>
  <si>
    <t>04-11-2024 23:52:35</t>
  </si>
  <si>
    <t>CIF30686</t>
  </si>
  <si>
    <t>2041319,00</t>
  </si>
  <si>
    <t>iOS</t>
  </si>
  <si>
    <t>TRX141319</t>
  </si>
  <si>
    <t>2024/10/07</t>
  </si>
  <si>
    <t>CIF94454</t>
  </si>
  <si>
    <t>Rp 12,410,893</t>
  </si>
  <si>
    <t>Sukses</t>
  </si>
  <si>
    <t>TRX665621</t>
  </si>
  <si>
    <t>2024-01-27 11:14:41</t>
  </si>
  <si>
    <t>CIF31992</t>
  </si>
  <si>
    <t>6367679.00</t>
  </si>
  <si>
    <t>BNI</t>
  </si>
  <si>
    <t>TRX123637</t>
  </si>
  <si>
    <t>24-04-2024 09:59:53</t>
  </si>
  <si>
    <t>CIF86385</t>
  </si>
  <si>
    <t>INTERNET BANKING</t>
  </si>
  <si>
    <t>467411,00</t>
  </si>
  <si>
    <t>sukses</t>
  </si>
  <si>
    <t>Mandiri</t>
  </si>
  <si>
    <t>TRX247068</t>
  </si>
  <si>
    <t>29/08/2024 08:53</t>
  </si>
  <si>
    <t>CIF38399</t>
  </si>
  <si>
    <t>40880011,00</t>
  </si>
  <si>
    <t>TRX140959</t>
  </si>
  <si>
    <t>05 Aug 2024</t>
  </si>
  <si>
    <t>CIF83899</t>
  </si>
  <si>
    <t>2989328,00</t>
  </si>
  <si>
    <t>TRX932929</t>
  </si>
  <si>
    <t>2024/10/30</t>
  </si>
  <si>
    <t>CIF37192</t>
  </si>
  <si>
    <t>Mobilebanking</t>
  </si>
  <si>
    <t>180513</t>
  </si>
  <si>
    <t>TRX481969</t>
  </si>
  <si>
    <t>24-08-2024 04:15:09</t>
  </si>
  <si>
    <t>CIF63197</t>
  </si>
  <si>
    <t>Rp460985</t>
  </si>
  <si>
    <t>TRX591081</t>
  </si>
  <si>
    <t>2024/02/08</t>
  </si>
  <si>
    <t>CIF24201</t>
  </si>
  <si>
    <t>3809931,00</t>
  </si>
  <si>
    <t>TRX998198</t>
  </si>
  <si>
    <t>2024/09/12</t>
  </si>
  <si>
    <t>CIF95799</t>
  </si>
  <si>
    <t>7404640,00</t>
  </si>
  <si>
    <t>TRX435772</t>
  </si>
  <si>
    <t>20 Mar 2024</t>
  </si>
  <si>
    <t>CIF15253</t>
  </si>
  <si>
    <t>edc</t>
  </si>
  <si>
    <t>43502206</t>
  </si>
  <si>
    <t>TRX981336</t>
  </si>
  <si>
    <t>08/05/2024 07:06</t>
  </si>
  <si>
    <t>CIF59465</t>
  </si>
  <si>
    <t>Rp 9,892,963</t>
  </si>
  <si>
    <t>CIF32494</t>
  </si>
  <si>
    <t>CIF62213</t>
  </si>
  <si>
    <t>TRX375834</t>
  </si>
  <si>
    <t>2024-02-14 04:17:46</t>
  </si>
  <si>
    <t>CIF66803</t>
  </si>
  <si>
    <t>Rp 391,346</t>
  </si>
  <si>
    <t>TRX356717</t>
  </si>
  <si>
    <t>28-03-2024 02:19:39</t>
  </si>
  <si>
    <t>CIF35971</t>
  </si>
  <si>
    <t>25200</t>
  </si>
  <si>
    <t>TRX596846</t>
  </si>
  <si>
    <t>25/10/2024 00:31</t>
  </si>
  <si>
    <t>CIF69325</t>
  </si>
  <si>
    <t>Rp 20,320,126</t>
  </si>
  <si>
    <t>TRX855855</t>
  </si>
  <si>
    <t>20/04/2024 13:28</t>
  </si>
  <si>
    <t>CIF22219</t>
  </si>
  <si>
    <t>1297637</t>
  </si>
  <si>
    <t>TRX842866</t>
  </si>
  <si>
    <t>2024-08-04 23:38:16</t>
  </si>
  <si>
    <t>CIF49650</t>
  </si>
  <si>
    <t>2469992</t>
  </si>
  <si>
    <t>error</t>
  </si>
  <si>
    <t>TRX791309</t>
  </si>
  <si>
    <t>06 Sep 2024</t>
  </si>
  <si>
    <t>CIF41584</t>
  </si>
  <si>
    <t>Rp2804692</t>
  </si>
  <si>
    <t>TRX670821</t>
  </si>
  <si>
    <t>25 Jan 2024</t>
  </si>
  <si>
    <t>CIF20992</t>
  </si>
  <si>
    <t>2318501</t>
  </si>
  <si>
    <t>TRX290824</t>
  </si>
  <si>
    <t>14/09/2024 03:28</t>
  </si>
  <si>
    <t>CIF26342</t>
  </si>
  <si>
    <t>Rp2109646</t>
  </si>
  <si>
    <t>windows</t>
  </si>
  <si>
    <t>CIF44681</t>
  </si>
  <si>
    <t>TRX573947</t>
  </si>
  <si>
    <t>2024-02-08 20:50:56</t>
  </si>
  <si>
    <t>CIF18300</t>
  </si>
  <si>
    <t>26964011</t>
  </si>
  <si>
    <t>TRX925026</t>
  </si>
  <si>
    <t>23-05-2024 17:21:36</t>
  </si>
  <si>
    <t>CIF60350</t>
  </si>
  <si>
    <t>44784468</t>
  </si>
  <si>
    <t>TRX776748</t>
  </si>
  <si>
    <t>2024-11-06 01:53:47</t>
  </si>
  <si>
    <t>CIF60917</t>
  </si>
  <si>
    <t>Rp 25,754,657</t>
  </si>
  <si>
    <t>TRX788108</t>
  </si>
  <si>
    <t>16 Oct 2024</t>
  </si>
  <si>
    <t>CIF29917</t>
  </si>
  <si>
    <t>1720733</t>
  </si>
  <si>
    <t>ios</t>
  </si>
  <si>
    <t>TRX329412</t>
  </si>
  <si>
    <t>05 Jul 2024</t>
  </si>
  <si>
    <t>CIF41531</t>
  </si>
  <si>
    <t>Rp 45,986</t>
  </si>
  <si>
    <t>TRX182020</t>
  </si>
  <si>
    <t>2024-11-05 08:55:43</t>
  </si>
  <si>
    <t>CIF98316</t>
  </si>
  <si>
    <t>217059</t>
  </si>
  <si>
    <t>TRX229660</t>
  </si>
  <si>
    <t>27-06-2024 02:13:55</t>
  </si>
  <si>
    <t>CIF75288</t>
  </si>
  <si>
    <t>Rp42798892</t>
  </si>
  <si>
    <t>TRX435940</t>
  </si>
  <si>
    <t>18/04/2024 03:11</t>
  </si>
  <si>
    <t>CIF91419</t>
  </si>
  <si>
    <t>39163499</t>
  </si>
  <si>
    <t>TRX117438</t>
  </si>
  <si>
    <t>20-11-2024 11:55:02</t>
  </si>
  <si>
    <t>CIF60444</t>
  </si>
  <si>
    <t>264036</t>
  </si>
  <si>
    <t>TRX608307</t>
  </si>
  <si>
    <t>12-02-2024 04:32:04</t>
  </si>
  <si>
    <t>CIF44242</t>
  </si>
  <si>
    <t>Rp5953147</t>
  </si>
  <si>
    <t>TRX909142</t>
  </si>
  <si>
    <t>2024/11/17</t>
  </si>
  <si>
    <t>CIF43482</t>
  </si>
  <si>
    <t>MOBILE BANKING</t>
  </si>
  <si>
    <t>399499,00</t>
  </si>
  <si>
    <t>TRX557925</t>
  </si>
  <si>
    <t>2024/02/24</t>
  </si>
  <si>
    <t>CIF94599</t>
  </si>
  <si>
    <t>3348043.00</t>
  </si>
  <si>
    <t>TRX207197</t>
  </si>
  <si>
    <t>2024/03/08</t>
  </si>
  <si>
    <t>CIF21101</t>
  </si>
  <si>
    <t>28750785</t>
  </si>
  <si>
    <t>GAGAL</t>
  </si>
  <si>
    <t>TRX944654</t>
  </si>
  <si>
    <t>2024/08/12</t>
  </si>
  <si>
    <t>CIF52425</t>
  </si>
  <si>
    <t>37568074.00</t>
  </si>
  <si>
    <t>TRX122323</t>
  </si>
  <si>
    <t>12 Sep 2024</t>
  </si>
  <si>
    <t>CIF96497</t>
  </si>
  <si>
    <t>2841197</t>
  </si>
  <si>
    <t>TRX385353</t>
  </si>
  <si>
    <t>24-12-2024 19:31:12</t>
  </si>
  <si>
    <t>CIF38467</t>
  </si>
  <si>
    <t>2059757.00</t>
  </si>
  <si>
    <t>TRX864060</t>
  </si>
  <si>
    <t>2024/10/16</t>
  </si>
  <si>
    <t>CIF49703</t>
  </si>
  <si>
    <t>393490,00</t>
  </si>
  <si>
    <t>TRX984199</t>
  </si>
  <si>
    <t>18/03/2024 17:39</t>
  </si>
  <si>
    <t>CIF37361</t>
  </si>
  <si>
    <t>IB</t>
  </si>
  <si>
    <t>4876744</t>
  </si>
  <si>
    <t>android</t>
  </si>
  <si>
    <t>TRX501010</t>
  </si>
  <si>
    <t>2024-10-20 12:22:26</t>
  </si>
  <si>
    <t>CIF25753</t>
  </si>
  <si>
    <t>304541.00</t>
  </si>
  <si>
    <t>BCA</t>
  </si>
  <si>
    <t>TRX611833</t>
  </si>
  <si>
    <t>2024-02-27 13:28:02</t>
  </si>
  <si>
    <t>CIF66734</t>
  </si>
  <si>
    <t>43698259</t>
  </si>
  <si>
    <t>TRX621586</t>
  </si>
  <si>
    <t>2024-08-09 14:26:11</t>
  </si>
  <si>
    <t>CIF68718</t>
  </si>
  <si>
    <t>23895749,00</t>
  </si>
  <si>
    <t>TRX806073</t>
  </si>
  <si>
    <t>2024/11/30</t>
  </si>
  <si>
    <t>CIF16630</t>
  </si>
  <si>
    <t>Rp 2,095,587</t>
  </si>
  <si>
    <t>TRX543410</t>
  </si>
  <si>
    <t>21/04/2024 04:06</t>
  </si>
  <si>
    <t>CIF28993</t>
  </si>
  <si>
    <t>37907407</t>
  </si>
  <si>
    <t>CIF14952</t>
  </si>
  <si>
    <t>TRX539673</t>
  </si>
  <si>
    <t>24-07-2024 21:44:35</t>
  </si>
  <si>
    <t>CIF55252</t>
  </si>
  <si>
    <t>40419503.00</t>
  </si>
  <si>
    <t>TRX683347</t>
  </si>
  <si>
    <t>2024-10-19 18:09:06</t>
  </si>
  <si>
    <t>CIF52558</t>
  </si>
  <si>
    <t>148930</t>
  </si>
  <si>
    <t>TRX916101</t>
  </si>
  <si>
    <t>2024-05-08 02:29:55</t>
  </si>
  <si>
    <t>CIF81233</t>
  </si>
  <si>
    <t>3475238.00</t>
  </si>
  <si>
    <t>TRX752123</t>
  </si>
  <si>
    <t>13-06-2024 00:50:01</t>
  </si>
  <si>
    <t>CIF39189</t>
  </si>
  <si>
    <t>Rp395325</t>
  </si>
  <si>
    <t>TRX386596</t>
  </si>
  <si>
    <t>2024/12/14</t>
  </si>
  <si>
    <t>CIF98629</t>
  </si>
  <si>
    <t>225634</t>
  </si>
  <si>
    <t>TRX725905</t>
  </si>
  <si>
    <t>30 Aug 2024</t>
  </si>
  <si>
    <t>CIF35006</t>
  </si>
  <si>
    <t>40180636.00</t>
  </si>
  <si>
    <t>TRX966529</t>
  </si>
  <si>
    <t>26/12/2024 22:38</t>
  </si>
  <si>
    <t>CIF82869</t>
  </si>
  <si>
    <t>Rp2582210</t>
  </si>
  <si>
    <t>TRX993055</t>
  </si>
  <si>
    <t>26-04-2024 12:08:53</t>
  </si>
  <si>
    <t>CIF79459</t>
  </si>
  <si>
    <t>35909103</t>
  </si>
  <si>
    <t>TRX123572</t>
  </si>
  <si>
    <t>22/10/2024 09:40</t>
  </si>
  <si>
    <t>CIF37076</t>
  </si>
  <si>
    <t>Rp 4,965,053</t>
  </si>
  <si>
    <t>TRX208529</t>
  </si>
  <si>
    <t>24/06/2024 22:05</t>
  </si>
  <si>
    <t>CIF92691</t>
  </si>
  <si>
    <t>40081026</t>
  </si>
  <si>
    <t>TRX897376</t>
  </si>
  <si>
    <t>2024/08/09</t>
  </si>
  <si>
    <t>CIF99751</t>
  </si>
  <si>
    <t>441257</t>
  </si>
  <si>
    <t>TRX130710</t>
  </si>
  <si>
    <t>24/04/2024 01:52</t>
  </si>
  <si>
    <t>CIF15646</t>
  </si>
  <si>
    <t>128668</t>
  </si>
  <si>
    <t>TRX699829</t>
  </si>
  <si>
    <t>07/04/2024 10:46</t>
  </si>
  <si>
    <t>CIF99091</t>
  </si>
  <si>
    <t>Rp16407611</t>
  </si>
  <si>
    <t>TRX206043</t>
  </si>
  <si>
    <t>2024/12/31</t>
  </si>
  <si>
    <t>CIF85448</t>
  </si>
  <si>
    <t>42625977</t>
  </si>
  <si>
    <t>TRX331381</t>
  </si>
  <si>
    <t>2024-02-07 15:37:31</t>
  </si>
  <si>
    <t>CIF26673</t>
  </si>
  <si>
    <t>4316740</t>
  </si>
  <si>
    <t>TRX765318</t>
  </si>
  <si>
    <t>17 Nov 2024</t>
  </si>
  <si>
    <t>CIF10419</t>
  </si>
  <si>
    <t>4443613.00</t>
  </si>
  <si>
    <t>TRX897549</t>
  </si>
  <si>
    <t>2024/09/29</t>
  </si>
  <si>
    <t>CIF67422</t>
  </si>
  <si>
    <t>19213536</t>
  </si>
  <si>
    <t>TRX683397</t>
  </si>
  <si>
    <t>31-01-2024 18:35:35</t>
  </si>
  <si>
    <t>CIF24184</t>
  </si>
  <si>
    <t>4047851.00</t>
  </si>
  <si>
    <t>failed</t>
  </si>
  <si>
    <t>TRX805477</t>
  </si>
  <si>
    <t>07/06/2024 07:51</t>
  </si>
  <si>
    <t>CIF95990</t>
  </si>
  <si>
    <t>1110927</t>
  </si>
  <si>
    <t>TRX222692</t>
  </si>
  <si>
    <t>19 Sep 2024</t>
  </si>
  <si>
    <t>CIF60157</t>
  </si>
  <si>
    <t>4556981</t>
  </si>
  <si>
    <t>TRX233534</t>
  </si>
  <si>
    <t>31 Mar 2024</t>
  </si>
  <si>
    <t>CIF20198</t>
  </si>
  <si>
    <t>Rp 2,027,412</t>
  </si>
  <si>
    <t>TRX731548</t>
  </si>
  <si>
    <t>14/07/2024 02:25</t>
  </si>
  <si>
    <t>CIF50645</t>
  </si>
  <si>
    <t>Rp56760</t>
  </si>
  <si>
    <t>TRX775987</t>
  </si>
  <si>
    <t>20-06-2024 13:37:21</t>
  </si>
  <si>
    <t>CIF56284</t>
  </si>
  <si>
    <t>169426,00</t>
  </si>
  <si>
    <t>TRX444844</t>
  </si>
  <si>
    <t>19-04-2024 14:36:50</t>
  </si>
  <si>
    <t>CIF99408</t>
  </si>
  <si>
    <t>Rp 158,695</t>
  </si>
  <si>
    <t>TRX696487</t>
  </si>
  <si>
    <t>11 Dec 2024</t>
  </si>
  <si>
    <t>CIF18050</t>
  </si>
  <si>
    <t>457926</t>
  </si>
  <si>
    <t>TRX310396</t>
  </si>
  <si>
    <t>25/11/2024 01:25</t>
  </si>
  <si>
    <t>CIF28790</t>
  </si>
  <si>
    <t>27541104.00</t>
  </si>
  <si>
    <t>TRX938754</t>
  </si>
  <si>
    <t>03/08/2024 20:56</t>
  </si>
  <si>
    <t>CIF90131</t>
  </si>
  <si>
    <t>1837105</t>
  </si>
  <si>
    <t>TRX191254</t>
  </si>
  <si>
    <t>17-07-2024 17:25:35</t>
  </si>
  <si>
    <t>CIF47498</t>
  </si>
  <si>
    <t>Rp 422,379</t>
  </si>
  <si>
    <t>TRX813981</t>
  </si>
  <si>
    <t>21-12-2024 12:18:34</t>
  </si>
  <si>
    <t>CIF72759</t>
  </si>
  <si>
    <t>Rp66881</t>
  </si>
  <si>
    <t>TRX519492</t>
  </si>
  <si>
    <t>2024/08/21</t>
  </si>
  <si>
    <t>CIF65009</t>
  </si>
  <si>
    <t>47249606</t>
  </si>
  <si>
    <t>TRX953779</t>
  </si>
  <si>
    <t>2024/12/10</t>
  </si>
  <si>
    <t>CIF88484</t>
  </si>
  <si>
    <t>Rp2623998</t>
  </si>
  <si>
    <t>TRX248724</t>
  </si>
  <si>
    <t>2024/01/01</t>
  </si>
  <si>
    <t>CIF25512</t>
  </si>
  <si>
    <t>3727464,00</t>
  </si>
  <si>
    <t>TRX860180</t>
  </si>
  <si>
    <t>2024-12-13 10:35:34</t>
  </si>
  <si>
    <t>CIF88012</t>
  </si>
  <si>
    <t>Rp429186</t>
  </si>
  <si>
    <t>TRX402418</t>
  </si>
  <si>
    <t>26/02/2024 00:31</t>
  </si>
  <si>
    <t>CIF16972</t>
  </si>
  <si>
    <t>1864044</t>
  </si>
  <si>
    <t>TRX703766</t>
  </si>
  <si>
    <t>12/12/2024 12:25</t>
  </si>
  <si>
    <t>CIF11658</t>
  </si>
  <si>
    <t>63425</t>
  </si>
  <si>
    <t>TRX828864</t>
  </si>
  <si>
    <t>2024/05/08</t>
  </si>
  <si>
    <t>CIF35668</t>
  </si>
  <si>
    <t>36277822.00</t>
  </si>
  <si>
    <t>TRX655736</t>
  </si>
  <si>
    <t>09/03/2024 12:15</t>
  </si>
  <si>
    <t>CIF72835</t>
  </si>
  <si>
    <t>11205153</t>
  </si>
  <si>
    <t>TRX731907</t>
  </si>
  <si>
    <t>2024-12-30 02:04:49</t>
  </si>
  <si>
    <t>CIF32517</t>
  </si>
  <si>
    <t>Rp36040341</t>
  </si>
  <si>
    <t>TRX616780</t>
  </si>
  <si>
    <t>22-06-2024 14:08:05</t>
  </si>
  <si>
    <t>CIF44500</t>
  </si>
  <si>
    <t>146527,00</t>
  </si>
  <si>
    <t>TRX454820</t>
  </si>
  <si>
    <t>17-04-2024 09:29:15</t>
  </si>
  <si>
    <t>CIF51674</t>
  </si>
  <si>
    <t>428918.00</t>
  </si>
  <si>
    <t>TRX246205</t>
  </si>
  <si>
    <t>11/06/2024 12:55</t>
  </si>
  <si>
    <t>CIF12841</t>
  </si>
  <si>
    <t>TRX255363</t>
  </si>
  <si>
    <t>15 Jan 2024</t>
  </si>
  <si>
    <t>CIF75619</t>
  </si>
  <si>
    <t>4228563,00</t>
  </si>
  <si>
    <t>TRX634363</t>
  </si>
  <si>
    <t>29-12-2024 15:40:44</t>
  </si>
  <si>
    <t>CIF44253</t>
  </si>
  <si>
    <t>2570239</t>
  </si>
  <si>
    <t>TRX994889</t>
  </si>
  <si>
    <t>03/07/2024 14:47</t>
  </si>
  <si>
    <t>CIF66011</t>
  </si>
  <si>
    <t>251593</t>
  </si>
  <si>
    <t>pending</t>
  </si>
  <si>
    <t>TRX126702</t>
  </si>
  <si>
    <t>CIF29866</t>
  </si>
  <si>
    <t>Rp26744222</t>
  </si>
  <si>
    <t>TRX790311</t>
  </si>
  <si>
    <t>2024/11/19</t>
  </si>
  <si>
    <t>CIF94919</t>
  </si>
  <si>
    <t>Rp26634021</t>
  </si>
  <si>
    <t>TRX237654</t>
  </si>
  <si>
    <t>26-09-2024 05:01:02</t>
  </si>
  <si>
    <t>CIF78610</t>
  </si>
  <si>
    <t>2785177</t>
  </si>
  <si>
    <t>TRX822063</t>
  </si>
  <si>
    <t>2024/01/31</t>
  </si>
  <si>
    <t>CIF41685</t>
  </si>
  <si>
    <t>26428960</t>
  </si>
  <si>
    <t>TRX477712</t>
  </si>
  <si>
    <t>2024-12-12 10:27:47</t>
  </si>
  <si>
    <t>CIF54921</t>
  </si>
  <si>
    <t>49517002,00</t>
  </si>
  <si>
    <t>bri</t>
  </si>
  <si>
    <t>TRX299193</t>
  </si>
  <si>
    <t>17 Dec 2024</t>
  </si>
  <si>
    <t>CIF33996</t>
  </si>
  <si>
    <t>315004.00</t>
  </si>
  <si>
    <t>TRX936449</t>
  </si>
  <si>
    <t>17-05-2024 16:14:20</t>
  </si>
  <si>
    <t>CIF63763</t>
  </si>
  <si>
    <t>1928040</t>
  </si>
  <si>
    <t>TRX275073</t>
  </si>
  <si>
    <t>09-07-2024 04:47:49</t>
  </si>
  <si>
    <t>CIF17266</t>
  </si>
  <si>
    <t>Rp 23,252,308</t>
  </si>
  <si>
    <t>TRX470157</t>
  </si>
  <si>
    <t>12/10/2024 07:42</t>
  </si>
  <si>
    <t>CIF50871</t>
  </si>
  <si>
    <t>Rp 5,881,012</t>
  </si>
  <si>
    <t>TRX284430</t>
  </si>
  <si>
    <t>22 Dec 2024</t>
  </si>
  <si>
    <t>CIF81810</t>
  </si>
  <si>
    <t>36181679</t>
  </si>
  <si>
    <t>TRX977340</t>
  </si>
  <si>
    <t>2024/09/09</t>
  </si>
  <si>
    <t>CIF17806</t>
  </si>
  <si>
    <t>Rp6337344</t>
  </si>
  <si>
    <t>TRX627900</t>
  </si>
  <si>
    <t>2024/02/23</t>
  </si>
  <si>
    <t>CIF40815</t>
  </si>
  <si>
    <t>14202738</t>
  </si>
  <si>
    <t>TRX391157</t>
  </si>
  <si>
    <t>2024/04/26</t>
  </si>
  <si>
    <t>CIF38364</t>
  </si>
  <si>
    <t>359065,00</t>
  </si>
  <si>
    <t>TRX735022</t>
  </si>
  <si>
    <t>17/10/2024 19:14</t>
  </si>
  <si>
    <t>CIF28024</t>
  </si>
  <si>
    <t>Rp13998401</t>
  </si>
  <si>
    <t>CIF40830</t>
  </si>
  <si>
    <t>TRX746345</t>
  </si>
  <si>
    <t>02/10/2024 23:51</t>
  </si>
  <si>
    <t>CIF55953</t>
  </si>
  <si>
    <t>internet banking</t>
  </si>
  <si>
    <t>1258602</t>
  </si>
  <si>
    <t>TRX804827</t>
  </si>
  <si>
    <t>2024-12-15 19:36:11</t>
  </si>
  <si>
    <t>CIF65982</t>
  </si>
  <si>
    <t>40103301,00</t>
  </si>
  <si>
    <t>TRX542875</t>
  </si>
  <si>
    <t>30 Jun 2024</t>
  </si>
  <si>
    <t>CIF67106</t>
  </si>
  <si>
    <t>44693416</t>
  </si>
  <si>
    <t>TRX800906</t>
  </si>
  <si>
    <t>2024-07-11 14:45:15</t>
  </si>
  <si>
    <t>CIF39057</t>
  </si>
  <si>
    <t>Rp 24,004,867</t>
  </si>
  <si>
    <t>TRX373832</t>
  </si>
  <si>
    <t>01-12-2024 22:57:41</t>
  </si>
  <si>
    <t>CIF63031</t>
  </si>
  <si>
    <t>976260</t>
  </si>
  <si>
    <t>TRX988955</t>
  </si>
  <si>
    <t>23-09-2024 02:42:41</t>
  </si>
  <si>
    <t>CIF74286</t>
  </si>
  <si>
    <t>2185540</t>
  </si>
  <si>
    <t>TRX813213</t>
  </si>
  <si>
    <t>22 Sep 2024</t>
  </si>
  <si>
    <t>CIF19757</t>
  </si>
  <si>
    <t>4023736</t>
  </si>
  <si>
    <t>TRX481088</t>
  </si>
  <si>
    <t>2024/12/09</t>
  </si>
  <si>
    <t>CIF88619</t>
  </si>
  <si>
    <t>13096188,00</t>
  </si>
  <si>
    <t>TRX287664</t>
  </si>
  <si>
    <t>28 Feb 2024</t>
  </si>
  <si>
    <t>CIF81474</t>
  </si>
  <si>
    <t>49828612</t>
  </si>
  <si>
    <t>TRX772149</t>
  </si>
  <si>
    <t>2024-12-05 22:42:57</t>
  </si>
  <si>
    <t>CIF13662</t>
  </si>
  <si>
    <t>539139.00</t>
  </si>
  <si>
    <t>TRX412071</t>
  </si>
  <si>
    <t>2024/05/27</t>
  </si>
  <si>
    <t>CIF15513</t>
  </si>
  <si>
    <t>499527</t>
  </si>
  <si>
    <t>TRX598597</t>
  </si>
  <si>
    <t>2024/10/01</t>
  </si>
  <si>
    <t>CIF11859</t>
  </si>
  <si>
    <t>Rp42641928</t>
  </si>
  <si>
    <t>TRX492547</t>
  </si>
  <si>
    <t>12 Jul 2024</t>
  </si>
  <si>
    <t>CIF70204</t>
  </si>
  <si>
    <t>Rp 17,461</t>
  </si>
  <si>
    <t>TRX999464</t>
  </si>
  <si>
    <t>21/06/2024 11:30</t>
  </si>
  <si>
    <t>CIF23449</t>
  </si>
  <si>
    <t>235875</t>
  </si>
  <si>
    <t>TRX325595</t>
  </si>
  <si>
    <t>25-10-2024 11:03:03</t>
  </si>
  <si>
    <t>CIF84747</t>
  </si>
  <si>
    <t>568597</t>
  </si>
  <si>
    <t>TRX574001</t>
  </si>
  <si>
    <t>29-03-2024 22:28:05</t>
  </si>
  <si>
    <t>CIF28202</t>
  </si>
  <si>
    <t>294253</t>
  </si>
  <si>
    <t>TRX621249</t>
  </si>
  <si>
    <t>02 Oct 2024</t>
  </si>
  <si>
    <t>CIF12248</t>
  </si>
  <si>
    <t>Rp 40,362,743</t>
  </si>
  <si>
    <t>TRX451801</t>
  </si>
  <si>
    <t>2024/02/02</t>
  </si>
  <si>
    <t>CIF20580</t>
  </si>
  <si>
    <t>21350712</t>
  </si>
  <si>
    <t>TRX265080</t>
  </si>
  <si>
    <t>30/01/2024 16:05</t>
  </si>
  <si>
    <t>CIF41285</t>
  </si>
  <si>
    <t>221694</t>
  </si>
  <si>
    <t>TRX444207</t>
  </si>
  <si>
    <t>22-05-2024 02:49:17</t>
  </si>
  <si>
    <t>CIF67199</t>
  </si>
  <si>
    <t>Rp 731,530</t>
  </si>
  <si>
    <t>TRX507523</t>
  </si>
  <si>
    <t>04-12-2024 08:42:54</t>
  </si>
  <si>
    <t>CIF34434</t>
  </si>
  <si>
    <t>3742391</t>
  </si>
  <si>
    <t>TRX904378</t>
  </si>
  <si>
    <t>2024/12/16</t>
  </si>
  <si>
    <t>CIF10832</t>
  </si>
  <si>
    <t>48475797</t>
  </si>
  <si>
    <t>CIF63533</t>
  </si>
  <si>
    <t>TRX200331</t>
  </si>
  <si>
    <t>12 Nov 2024</t>
  </si>
  <si>
    <t>CIF17081</t>
  </si>
  <si>
    <t>154927</t>
  </si>
  <si>
    <t>TRX339431</t>
  </si>
  <si>
    <t>2024-12-19 22:29:11</t>
  </si>
  <si>
    <t>CIF86765</t>
  </si>
  <si>
    <t>17751634,00</t>
  </si>
  <si>
    <t>TRX227352</t>
  </si>
  <si>
    <t>07/01/2024 01:53</t>
  </si>
  <si>
    <t>CIF26880</t>
  </si>
  <si>
    <t>Rp 44,079,088</t>
  </si>
  <si>
    <t>TRX264845</t>
  </si>
  <si>
    <t>10/07/2024 08:35</t>
  </si>
  <si>
    <t>CIF75213</t>
  </si>
  <si>
    <t>20446955</t>
  </si>
  <si>
    <t>TRX144066</t>
  </si>
  <si>
    <t>2024/03/12</t>
  </si>
  <si>
    <t>CIF37664</t>
  </si>
  <si>
    <t>5619088</t>
  </si>
  <si>
    <t>TRX976097</t>
  </si>
  <si>
    <t>27/10/2024 19:05</t>
  </si>
  <si>
    <t>CIF36117</t>
  </si>
  <si>
    <t>1054619</t>
  </si>
  <si>
    <t>TRX810436</t>
  </si>
  <si>
    <t>2024/07/21</t>
  </si>
  <si>
    <t>CIF88616</t>
  </si>
  <si>
    <t>Rp21873169</t>
  </si>
  <si>
    <t>TRX816052</t>
  </si>
  <si>
    <t>2024/09/08</t>
  </si>
  <si>
    <t>CIF12744</t>
  </si>
  <si>
    <t>291256</t>
  </si>
  <si>
    <t>TRX433507</t>
  </si>
  <si>
    <t>19/08/2024 08:14</t>
  </si>
  <si>
    <t>CIF50410</t>
  </si>
  <si>
    <t>67133</t>
  </si>
  <si>
    <t>TRX197545</t>
  </si>
  <si>
    <t>23 Jan 2024</t>
  </si>
  <si>
    <t>CIF48230</t>
  </si>
  <si>
    <t>402114</t>
  </si>
  <si>
    <t>TRX934637</t>
  </si>
  <si>
    <t>29-08-2024 05:39:13</t>
  </si>
  <si>
    <t>CIF12376</t>
  </si>
  <si>
    <t>77683</t>
  </si>
  <si>
    <t>TRX816881</t>
  </si>
  <si>
    <t>04/08/2024 08:16</t>
  </si>
  <si>
    <t>CIF66168</t>
  </si>
  <si>
    <t>25021043,00</t>
  </si>
  <si>
    <t>CIF63075</t>
  </si>
  <si>
    <t>TRX728441</t>
  </si>
  <si>
    <t>17-12-2024 11:16:27</t>
  </si>
  <si>
    <t>CIF79634</t>
  </si>
  <si>
    <t>1999280</t>
  </si>
  <si>
    <t>TRX906731</t>
  </si>
  <si>
    <t>06-08-2024 22:57:42</t>
  </si>
  <si>
    <t>CIF36302</t>
  </si>
  <si>
    <t>1023343,00</t>
  </si>
  <si>
    <t>CIF69450</t>
  </si>
  <si>
    <t>TRX109767</t>
  </si>
  <si>
    <t>2024-08-22 19:36:06</t>
  </si>
  <si>
    <t>CIF97538</t>
  </si>
  <si>
    <t>499296,00</t>
  </si>
  <si>
    <t>TRX604740</t>
  </si>
  <si>
    <t>19/04/2024 12:57</t>
  </si>
  <si>
    <t>CIF17665</t>
  </si>
  <si>
    <t>4316886</t>
  </si>
  <si>
    <t>TRX363976</t>
  </si>
  <si>
    <t>27/07/2024 19:17</t>
  </si>
  <si>
    <t>CIF73908</t>
  </si>
  <si>
    <t>22730155,00</t>
  </si>
  <si>
    <t>TRX353860</t>
  </si>
  <si>
    <t>04 Jun 2024</t>
  </si>
  <si>
    <t>CIF90544</t>
  </si>
  <si>
    <t>37003336</t>
  </si>
  <si>
    <t>TRX302458</t>
  </si>
  <si>
    <t>2024-01-18 00:39:05</t>
  </si>
  <si>
    <t>CIF43205</t>
  </si>
  <si>
    <t>Rp344539</t>
  </si>
  <si>
    <t>TRX562241</t>
  </si>
  <si>
    <t>06-07-2024 16:54:39</t>
  </si>
  <si>
    <t>CIF30258</t>
  </si>
  <si>
    <t>22638050.00</t>
  </si>
  <si>
    <t>TRX764909</t>
  </si>
  <si>
    <t>2024-05-25 22:39:59</t>
  </si>
  <si>
    <t>CIF97518</t>
  </si>
  <si>
    <t>Rp 637,795</t>
  </si>
  <si>
    <t>TRX140698</t>
  </si>
  <si>
    <t>2024/08/02</t>
  </si>
  <si>
    <t>CIF88360</t>
  </si>
  <si>
    <t>263877</t>
  </si>
  <si>
    <t>TRX576919</t>
  </si>
  <si>
    <t>2024-02-15 10:16:20</t>
  </si>
  <si>
    <t>CIF45003</t>
  </si>
  <si>
    <t>49134841</t>
  </si>
  <si>
    <t>TRX766459</t>
  </si>
  <si>
    <t>23/08/2024 22:09</t>
  </si>
  <si>
    <t>CIF69087</t>
  </si>
  <si>
    <t>4555871.00</t>
  </si>
  <si>
    <t>TRX697538</t>
  </si>
  <si>
    <t>17 Sep 2024</t>
  </si>
  <si>
    <t>CIF42610</t>
  </si>
  <si>
    <t>29048428</t>
  </si>
  <si>
    <t>TRX983981</t>
  </si>
  <si>
    <t>17/11/2024 08:53</t>
  </si>
  <si>
    <t>CIF69468</t>
  </si>
  <si>
    <t>Rp 58,897</t>
  </si>
  <si>
    <t>TRX593355</t>
  </si>
  <si>
    <t>22-09-2024 20:28:58</t>
  </si>
  <si>
    <t>CIF47777</t>
  </si>
  <si>
    <t>Rp4624894</t>
  </si>
  <si>
    <t>TRX723330</t>
  </si>
  <si>
    <t>21 Mar 2024</t>
  </si>
  <si>
    <t>CIF43390</t>
  </si>
  <si>
    <t>2115987,00</t>
  </si>
  <si>
    <t>CIF98327</t>
  </si>
  <si>
    <t>TRX844321</t>
  </si>
  <si>
    <t>2024/01/17</t>
  </si>
  <si>
    <t>CIF73263</t>
  </si>
  <si>
    <t>19504901.00</t>
  </si>
  <si>
    <t>TRX460971</t>
  </si>
  <si>
    <t>2024-03-24 08:47:53</t>
  </si>
  <si>
    <t>CIF72140</t>
  </si>
  <si>
    <t>19854619</t>
  </si>
  <si>
    <t>TRX994101</t>
  </si>
  <si>
    <t>2024-01-16 19:03:54</t>
  </si>
  <si>
    <t>CIF46697</t>
  </si>
  <si>
    <t>243339</t>
  </si>
  <si>
    <t>TRX576089</t>
  </si>
  <si>
    <t>19-09-2024 15:36:46</t>
  </si>
  <si>
    <t>CIF96025</t>
  </si>
  <si>
    <t>45106707</t>
  </si>
  <si>
    <t>TRX286037</t>
  </si>
  <si>
    <t>2024-08-21 23:37:23</t>
  </si>
  <si>
    <t>CIF79081</t>
  </si>
  <si>
    <t>Rp 3,678,773</t>
  </si>
  <si>
    <t>TRX475271</t>
  </si>
  <si>
    <t>16-01-2024 17:07:09</t>
  </si>
  <si>
    <t>CIF35688</t>
  </si>
  <si>
    <t>2170363</t>
  </si>
  <si>
    <t>bank jatim</t>
  </si>
  <si>
    <t>TRX899213</t>
  </si>
  <si>
    <t>CIF26551</t>
  </si>
  <si>
    <t>Rp322890</t>
  </si>
  <si>
    <t>TRX823934</t>
  </si>
  <si>
    <t>17 Apr 2024</t>
  </si>
  <si>
    <t>CIF26683</t>
  </si>
  <si>
    <t>Rp 39,522,887</t>
  </si>
  <si>
    <t>TRX268132</t>
  </si>
  <si>
    <t>05-02-2024 16:09:28</t>
  </si>
  <si>
    <t>CIF34886</t>
  </si>
  <si>
    <t>30437183.00</t>
  </si>
  <si>
    <t>TRX416178</t>
  </si>
  <si>
    <t>2024/02/13</t>
  </si>
  <si>
    <t>CIF41632</t>
  </si>
  <si>
    <t>Rp293529</t>
  </si>
  <si>
    <t>TRX108454</t>
  </si>
  <si>
    <t>2024/12/22</t>
  </si>
  <si>
    <t>CIF94092</t>
  </si>
  <si>
    <t>10994907,00</t>
  </si>
  <si>
    <t>TRX399113</t>
  </si>
  <si>
    <t>14/06/2024 12:20</t>
  </si>
  <si>
    <t>CIF67529</t>
  </si>
  <si>
    <t>Rp23673459</t>
  </si>
  <si>
    <t>TRX995304</t>
  </si>
  <si>
    <t>2024/02/07</t>
  </si>
  <si>
    <t>CIF53086</t>
  </si>
  <si>
    <t>255623</t>
  </si>
  <si>
    <t>TRX303052</t>
  </si>
  <si>
    <t>24/06/2024 13:58</t>
  </si>
  <si>
    <t>CIF26608</t>
  </si>
  <si>
    <t>40984952.00</t>
  </si>
  <si>
    <t>mandiri</t>
  </si>
  <si>
    <t>TRX934202</t>
  </si>
  <si>
    <t>CIF70324</t>
  </si>
  <si>
    <t>28376888.00</t>
  </si>
  <si>
    <t>TRX221309</t>
  </si>
  <si>
    <t>28-05-2024 02:07:05</t>
  </si>
  <si>
    <t>CIF65535</t>
  </si>
  <si>
    <t>3584801</t>
  </si>
  <si>
    <t>TRX788842</t>
  </si>
  <si>
    <t>11 Mar 2024</t>
  </si>
  <si>
    <t>CIF28102</t>
  </si>
  <si>
    <t>1781352.00</t>
  </si>
  <si>
    <t>TRX992104</t>
  </si>
  <si>
    <t>01-03-2024 09:19:30</t>
  </si>
  <si>
    <t>CIF53063</t>
  </si>
  <si>
    <t>25456110</t>
  </si>
  <si>
    <t>TRX716146</t>
  </si>
  <si>
    <t>2024-04-12 05:42:22</t>
  </si>
  <si>
    <t>CIF79315</t>
  </si>
  <si>
    <t>Rp 313,956</t>
  </si>
  <si>
    <t>TRX487484</t>
  </si>
  <si>
    <t>15/01/2024 19:57</t>
  </si>
  <si>
    <t>CIF53603</t>
  </si>
  <si>
    <t>53423,00</t>
  </si>
  <si>
    <t>TRX571233</t>
  </si>
  <si>
    <t>26 Mar 2024</t>
  </si>
  <si>
    <t>CIF51215</t>
  </si>
  <si>
    <t>1461753.00</t>
  </si>
  <si>
    <t>TRX510243</t>
  </si>
  <si>
    <t>22 Mar 2024</t>
  </si>
  <si>
    <t>CIF52922</t>
  </si>
  <si>
    <t>Rp46978</t>
  </si>
  <si>
    <t>TRX166514</t>
  </si>
  <si>
    <t>24 Mar 2024</t>
  </si>
  <si>
    <t>CIF86854</t>
  </si>
  <si>
    <t>3447610</t>
  </si>
  <si>
    <t>TRX608149</t>
  </si>
  <si>
    <t>10 Mar 2024</t>
  </si>
  <si>
    <t>CIF14285</t>
  </si>
  <si>
    <t>32892486</t>
  </si>
  <si>
    <t>TRX789922</t>
  </si>
  <si>
    <t>2024-05-22 20:39:23</t>
  </si>
  <si>
    <t>CIF92689</t>
  </si>
  <si>
    <t>Rp11832594</t>
  </si>
  <si>
    <t>TRX235691</t>
  </si>
  <si>
    <t>2024/11/10</t>
  </si>
  <si>
    <t>CIF39657</t>
  </si>
  <si>
    <t>12447.00</t>
  </si>
  <si>
    <t>TRX465509</t>
  </si>
  <si>
    <t>14/02/2024 14:55</t>
  </si>
  <si>
    <t>CIF79767</t>
  </si>
  <si>
    <t>45953976.00</t>
  </si>
  <si>
    <t>TRX484208</t>
  </si>
  <si>
    <t>27-06-2024 23:37:01</t>
  </si>
  <si>
    <t>CIF25003</t>
  </si>
  <si>
    <t>Rp 197,362</t>
  </si>
  <si>
    <t>CIF46096</t>
  </si>
  <si>
    <t>TRX620277</t>
  </si>
  <si>
    <t>2024/04/07</t>
  </si>
  <si>
    <t>CIF23226</t>
  </si>
  <si>
    <t>Rp 1,656,567</t>
  </si>
  <si>
    <t>TRX383242</t>
  </si>
  <si>
    <t>09 Jan 2024</t>
  </si>
  <si>
    <t>CIF74499</t>
  </si>
  <si>
    <t>Rp14377155</t>
  </si>
  <si>
    <t>TRX874415</t>
  </si>
  <si>
    <t>CIF84861</t>
  </si>
  <si>
    <t>Rp 2,299,299</t>
  </si>
  <si>
    <t>TRX314635</t>
  </si>
  <si>
    <t>25/08/2024 04:26</t>
  </si>
  <si>
    <t>CIF15311</t>
  </si>
  <si>
    <t>Rp 945,597</t>
  </si>
  <si>
    <t>TRX687159</t>
  </si>
  <si>
    <t>17-08-2024 17:41:03</t>
  </si>
  <si>
    <t>CIF27479</t>
  </si>
  <si>
    <t>9389775</t>
  </si>
  <si>
    <t>TRX936212</t>
  </si>
  <si>
    <t>20-04-2024 19:32:28</t>
  </si>
  <si>
    <t>CIF42747</t>
  </si>
  <si>
    <t>4523870</t>
  </si>
  <si>
    <t>TRX585884</t>
  </si>
  <si>
    <t>07-10-2024 13:23:41</t>
  </si>
  <si>
    <t>CIF33634</t>
  </si>
  <si>
    <t>Rp25154152</t>
  </si>
  <si>
    <t>TRX906250</t>
  </si>
  <si>
    <t>03 Nov 2024</t>
  </si>
  <si>
    <t>CIF53093</t>
  </si>
  <si>
    <t>1472001.00</t>
  </si>
  <si>
    <t>CIF19535</t>
  </si>
  <si>
    <t>TRX197770</t>
  </si>
  <si>
    <t>28/03/2024 03:43</t>
  </si>
  <si>
    <t>CIF69593</t>
  </si>
  <si>
    <t>266174.00</t>
  </si>
  <si>
    <t>TRX240913</t>
  </si>
  <si>
    <t>02-06-2024 23:28:49</t>
  </si>
  <si>
    <t>CIF18600</t>
  </si>
  <si>
    <t>1248992</t>
  </si>
  <si>
    <t>TRX624902</t>
  </si>
  <si>
    <t>01-04-2024 16:58:06</t>
  </si>
  <si>
    <t>CIF17592</t>
  </si>
  <si>
    <t>Rp 41,197,113</t>
  </si>
  <si>
    <t>TRX956375</t>
  </si>
  <si>
    <t>2024/08/18</t>
  </si>
  <si>
    <t>CIF47601</t>
  </si>
  <si>
    <t>3739396</t>
  </si>
  <si>
    <t>TRX983456</t>
  </si>
  <si>
    <t>2024-10-15 01:52:55</t>
  </si>
  <si>
    <t>CIF42096</t>
  </si>
  <si>
    <t>2268388,00</t>
  </si>
  <si>
    <t>TRX144618</t>
  </si>
  <si>
    <t>27 Apr 2024</t>
  </si>
  <si>
    <t>CIF62205</t>
  </si>
  <si>
    <t>41442173</t>
  </si>
  <si>
    <t>TRX472724</t>
  </si>
  <si>
    <t>10 May 2024</t>
  </si>
  <si>
    <t>CIF54739</t>
  </si>
  <si>
    <t>104137</t>
  </si>
  <si>
    <t>TRX476395</t>
  </si>
  <si>
    <t>2024-10-21 09:44:18</t>
  </si>
  <si>
    <t>CIF93442</t>
  </si>
  <si>
    <t>45695250.00</t>
  </si>
  <si>
    <t>TRX281926</t>
  </si>
  <si>
    <t>2024-11-04 04:48:48</t>
  </si>
  <si>
    <t>CIF67961</t>
  </si>
  <si>
    <t>42882402</t>
  </si>
  <si>
    <t>TRX288056</t>
  </si>
  <si>
    <t>2024-04-24 16:02:25</t>
  </si>
  <si>
    <t>CIF58270</t>
  </si>
  <si>
    <t>1224654,00</t>
  </si>
  <si>
    <t>TRX655338</t>
  </si>
  <si>
    <t>23/11/2024 02:32</t>
  </si>
  <si>
    <t>CIF77917</t>
  </si>
  <si>
    <t>3152565</t>
  </si>
  <si>
    <t>TRX627743</t>
  </si>
  <si>
    <t>2024/03/23</t>
  </si>
  <si>
    <t>CIF26401</t>
  </si>
  <si>
    <t>43390641,00</t>
  </si>
  <si>
    <t>TRX379626</t>
  </si>
  <si>
    <t>2024-02-12 14:58:42</t>
  </si>
  <si>
    <t>CIF21453</t>
  </si>
  <si>
    <t>479667</t>
  </si>
  <si>
    <t>TRX246054</t>
  </si>
  <si>
    <t>14-04-2024 17:52:46</t>
  </si>
  <si>
    <t>CIF82276</t>
  </si>
  <si>
    <t>Rp 42,839,748</t>
  </si>
  <si>
    <t>TRX237801</t>
  </si>
  <si>
    <t>26/02/2024 03:50</t>
  </si>
  <si>
    <t>CIF73691</t>
  </si>
  <si>
    <t>8492334</t>
  </si>
  <si>
    <t>TRX178011</t>
  </si>
  <si>
    <t>28-09-2024 11:04:31</t>
  </si>
  <si>
    <t>CIF53749</t>
  </si>
  <si>
    <t>Rp 23,708</t>
  </si>
  <si>
    <t>TRX170176</t>
  </si>
  <si>
    <t>18-08-2024 12:49:12</t>
  </si>
  <si>
    <t>CIF51178</t>
  </si>
  <si>
    <t>Rp19987645</t>
  </si>
  <si>
    <t>TRX274006</t>
  </si>
  <si>
    <t>06 Jan 2024</t>
  </si>
  <si>
    <t>CIF16673</t>
  </si>
  <si>
    <t>124658</t>
  </si>
  <si>
    <t>TRX153430</t>
  </si>
  <si>
    <t>13/07/2024 13:33</t>
  </si>
  <si>
    <t>CIF16233</t>
  </si>
  <si>
    <t>33660372</t>
  </si>
  <si>
    <t>TRX844653</t>
  </si>
  <si>
    <t>19 Jun 2024</t>
  </si>
  <si>
    <t>CIF57109</t>
  </si>
  <si>
    <t>673873</t>
  </si>
  <si>
    <t>TRX628750</t>
  </si>
  <si>
    <t>18 Aug 2024</t>
  </si>
  <si>
    <t>CIF27961</t>
  </si>
  <si>
    <t>3804303</t>
  </si>
  <si>
    <t>TRX691655</t>
  </si>
  <si>
    <t>2024-02-01 04:48:44</t>
  </si>
  <si>
    <t>CIF49171</t>
  </si>
  <si>
    <t>227048</t>
  </si>
  <si>
    <t>TRX311499</t>
  </si>
  <si>
    <t>04/06/2024 05:27</t>
  </si>
  <si>
    <t>CIF62321</t>
  </si>
  <si>
    <t>24311.00</t>
  </si>
  <si>
    <t>TRX528346</t>
  </si>
  <si>
    <t>2024/08/03</t>
  </si>
  <si>
    <t>CIF66547</t>
  </si>
  <si>
    <t>469488</t>
  </si>
  <si>
    <t>TRX961574</t>
  </si>
  <si>
    <t>28-12-2024 21:40:46</t>
  </si>
  <si>
    <t>CIF74629</t>
  </si>
  <si>
    <t>1068703</t>
  </si>
  <si>
    <t>TRX658162</t>
  </si>
  <si>
    <t>CIF67794</t>
  </si>
  <si>
    <t>69433</t>
  </si>
  <si>
    <t>TRX836405</t>
  </si>
  <si>
    <t>2024-08-31 03:17:29</t>
  </si>
  <si>
    <t>CIF17088</t>
  </si>
  <si>
    <t>26487360</t>
  </si>
  <si>
    <t>TRX859984</t>
  </si>
  <si>
    <t>31/07/2024 00:56</t>
  </si>
  <si>
    <t>CIF40323</t>
  </si>
  <si>
    <t>986078,00</t>
  </si>
  <si>
    <t>TRX665883</t>
  </si>
  <si>
    <t>26-04-2024 02:28:19</t>
  </si>
  <si>
    <t>CIF11197</t>
  </si>
  <si>
    <t>TRX212018</t>
  </si>
  <si>
    <t>01-09-2024 01:30:51</t>
  </si>
  <si>
    <t>CIF38628</t>
  </si>
  <si>
    <t>Rp 2,576,816</t>
  </si>
  <si>
    <t>CIF80860</t>
  </si>
  <si>
    <t>TRX903340</t>
  </si>
  <si>
    <t>2024/02/29</t>
  </si>
  <si>
    <t>CIF97139</t>
  </si>
  <si>
    <t>772462</t>
  </si>
  <si>
    <t>TRX158777</t>
  </si>
  <si>
    <t>2024-06-21 23:02:25</t>
  </si>
  <si>
    <t>CIF41808</t>
  </si>
  <si>
    <t>250318</t>
  </si>
  <si>
    <t>TRX342928</t>
  </si>
  <si>
    <t>07/12/2024 08:09</t>
  </si>
  <si>
    <t>CIF68304</t>
  </si>
  <si>
    <t>41227361</t>
  </si>
  <si>
    <t>bni</t>
  </si>
  <si>
    <t>TRX219125</t>
  </si>
  <si>
    <t>2024-12-11 13:16:33</t>
  </si>
  <si>
    <t>CIF37494</t>
  </si>
  <si>
    <t>Rp344976</t>
  </si>
  <si>
    <t>TRX940383</t>
  </si>
  <si>
    <t>CIF32764</t>
  </si>
  <si>
    <t>Rp550689</t>
  </si>
  <si>
    <t>TRX481466</t>
  </si>
  <si>
    <t>CIF66149</t>
  </si>
  <si>
    <t>4325184</t>
  </si>
  <si>
    <t>TRX977504</t>
  </si>
  <si>
    <t>09 Aug 2024</t>
  </si>
  <si>
    <t>CIF75740</t>
  </si>
  <si>
    <t>2544743,00</t>
  </si>
  <si>
    <t>TRX264735</t>
  </si>
  <si>
    <t>28/01/2024 03:21</t>
  </si>
  <si>
    <t>CIF48607</t>
  </si>
  <si>
    <t>165923</t>
  </si>
  <si>
    <t>TRX126985</t>
  </si>
  <si>
    <t>2024-04-15 05:40:18</t>
  </si>
  <si>
    <t>CIF34455</t>
  </si>
  <si>
    <t>3834197</t>
  </si>
  <si>
    <t>TRX688247</t>
  </si>
  <si>
    <t>22 May 2024</t>
  </si>
  <si>
    <t>CIF58473</t>
  </si>
  <si>
    <t>30014001</t>
  </si>
  <si>
    <t>TRX331454</t>
  </si>
  <si>
    <t>2024-04-19 06:23:06</t>
  </si>
  <si>
    <t>CIF88423</t>
  </si>
  <si>
    <t>48152289.00</t>
  </si>
  <si>
    <t>TRX762574</t>
  </si>
  <si>
    <t>25/01/2024 06:11</t>
  </si>
  <si>
    <t>CIF91436</t>
  </si>
  <si>
    <t>5786013</t>
  </si>
  <si>
    <t>TRX984027</t>
  </si>
  <si>
    <t>25 Dec 2024</t>
  </si>
  <si>
    <t>CIF25126</t>
  </si>
  <si>
    <t>Rp28172259</t>
  </si>
  <si>
    <t>TRX907069</t>
  </si>
  <si>
    <t>2024/06/05</t>
  </si>
  <si>
    <t>CIF47707</t>
  </si>
  <si>
    <t>Rp 18,400,647</t>
  </si>
  <si>
    <t>TRX135644</t>
  </si>
  <si>
    <t>01-03-2024 07:25:31</t>
  </si>
  <si>
    <t>CIF74122</t>
  </si>
  <si>
    <t>36116620</t>
  </si>
  <si>
    <t>TRX165142</t>
  </si>
  <si>
    <t>07/12/2024 03:29</t>
  </si>
  <si>
    <t>CIF64505</t>
  </si>
  <si>
    <t>29665453</t>
  </si>
  <si>
    <t>TRX438270</t>
  </si>
  <si>
    <t>2024-07-28 20:20:07</t>
  </si>
  <si>
    <t>CIF16433</t>
  </si>
  <si>
    <t>447881</t>
  </si>
  <si>
    <t>TRX690648</t>
  </si>
  <si>
    <t>2024/07/20</t>
  </si>
  <si>
    <t>CIF52184</t>
  </si>
  <si>
    <t>1673820,00</t>
  </si>
  <si>
    <t>TRX201675</t>
  </si>
  <si>
    <t>15 Dec 2024</t>
  </si>
  <si>
    <t>CIF24126</t>
  </si>
  <si>
    <t>Rp 275,986</t>
  </si>
  <si>
    <t>TRX409979</t>
  </si>
  <si>
    <t>01 Feb 2024</t>
  </si>
  <si>
    <t>CIF20316</t>
  </si>
  <si>
    <t>Rp33386467</t>
  </si>
  <si>
    <t>TRX328459</t>
  </si>
  <si>
    <t>20/03/2024 16:14</t>
  </si>
  <si>
    <t>CIF32571</t>
  </si>
  <si>
    <t>251430</t>
  </si>
  <si>
    <t>TRX981202</t>
  </si>
  <si>
    <t>2024-10-01 06:18:16</t>
  </si>
  <si>
    <t>CIF65981</t>
  </si>
  <si>
    <t>46914336</t>
  </si>
  <si>
    <t>TRX348237</t>
  </si>
  <si>
    <t>2024-03-24 05:56:26</t>
  </si>
  <si>
    <t>CIF55830</t>
  </si>
  <si>
    <t>430602</t>
  </si>
  <si>
    <t>TRX299254</t>
  </si>
  <si>
    <t>01/03/2024 23:48</t>
  </si>
  <si>
    <t>CIF71080</t>
  </si>
  <si>
    <t>2507653</t>
  </si>
  <si>
    <t>TRX492446</t>
  </si>
  <si>
    <t>12-09-2024 16:29:11</t>
  </si>
  <si>
    <t>CIF40721</t>
  </si>
  <si>
    <t>2750960.00</t>
  </si>
  <si>
    <t>TRX210553</t>
  </si>
  <si>
    <t>2024/03/30</t>
  </si>
  <si>
    <t>CIF68918</t>
  </si>
  <si>
    <t>7511097</t>
  </si>
  <si>
    <t>TRX892313</t>
  </si>
  <si>
    <t>12 Mar 2024</t>
  </si>
  <si>
    <t>CIF93115</t>
  </si>
  <si>
    <t>61215</t>
  </si>
  <si>
    <t>TRX160028</t>
  </si>
  <si>
    <t>18/11/2024 23:38</t>
  </si>
  <si>
    <t>CIF47641</t>
  </si>
  <si>
    <t>Rp38824215</t>
  </si>
  <si>
    <t>TRX449472</t>
  </si>
  <si>
    <t>23 Jun 2024</t>
  </si>
  <si>
    <t>CIF70616</t>
  </si>
  <si>
    <t>3334819</t>
  </si>
  <si>
    <t>TRX716366</t>
  </si>
  <si>
    <t>08 Apr 2024</t>
  </si>
  <si>
    <t>CIF26735</t>
  </si>
  <si>
    <t>4768945.00</t>
  </si>
  <si>
    <t>TRX317198</t>
  </si>
  <si>
    <t>10-01-2024 13:42:08</t>
  </si>
  <si>
    <t>CIF80969</t>
  </si>
  <si>
    <t>60933</t>
  </si>
  <si>
    <t>TRX493416</t>
  </si>
  <si>
    <t>27-09-2024 01:39:41</t>
  </si>
  <si>
    <t>CIF92179</t>
  </si>
  <si>
    <t>3196038.00</t>
  </si>
  <si>
    <t>TRX971728</t>
  </si>
  <si>
    <t>20/12/2024 19:51</t>
  </si>
  <si>
    <t>CIF35430</t>
  </si>
  <si>
    <t>34809670.00</t>
  </si>
  <si>
    <t>TRX591130</t>
  </si>
  <si>
    <t>2024/06/30</t>
  </si>
  <si>
    <t>CIF26506</t>
  </si>
  <si>
    <t>1679317,00</t>
  </si>
  <si>
    <t>TRX193806</t>
  </si>
  <si>
    <t>11-08-2024 08:22:14</t>
  </si>
  <si>
    <t>CIF39960</t>
  </si>
  <si>
    <t>19706019</t>
  </si>
  <si>
    <t>TRX569945</t>
  </si>
  <si>
    <t>2024/01/09</t>
  </si>
  <si>
    <t>CIF42951</t>
  </si>
  <si>
    <t>42142941</t>
  </si>
  <si>
    <t>CIF12026</t>
  </si>
  <si>
    <t>TRX882354</t>
  </si>
  <si>
    <t>2024/09/28</t>
  </si>
  <si>
    <t>CIF96761</t>
  </si>
  <si>
    <t>43090558</t>
  </si>
  <si>
    <t>TRX442622</t>
  </si>
  <si>
    <t>2024-07-19 18:40:48</t>
  </si>
  <si>
    <t>CIF11487</t>
  </si>
  <si>
    <t>Rp2550844</t>
  </si>
  <si>
    <t>TRX211035</t>
  </si>
  <si>
    <t>2024-11-08 19:50:54</t>
  </si>
  <si>
    <t>CIF23014</t>
  </si>
  <si>
    <t>65265,00</t>
  </si>
  <si>
    <t>TRX819678</t>
  </si>
  <si>
    <t>30 Mar 2024</t>
  </si>
  <si>
    <t>CIF71780</t>
  </si>
  <si>
    <t>Rp30462982</t>
  </si>
  <si>
    <t>TRX699121</t>
  </si>
  <si>
    <t>18 Nov 2024</t>
  </si>
  <si>
    <t>CIF74553</t>
  </si>
  <si>
    <t>22425490</t>
  </si>
  <si>
    <t>TRX152326</t>
  </si>
  <si>
    <t>08-05-2024 04:22:56</t>
  </si>
  <si>
    <t>CIF98932</t>
  </si>
  <si>
    <t>14572693.00</t>
  </si>
  <si>
    <t>TRX763664</t>
  </si>
  <si>
    <t>09-09-2024 13:57:17</t>
  </si>
  <si>
    <t>CIF54272</t>
  </si>
  <si>
    <t>Rp 308,355</t>
  </si>
  <si>
    <t>TRX236074</t>
  </si>
  <si>
    <t>2024/11/09</t>
  </si>
  <si>
    <t>CIF82260</t>
  </si>
  <si>
    <t>225374</t>
  </si>
  <si>
    <t>TRX961331</t>
  </si>
  <si>
    <t>2024/04/08</t>
  </si>
  <si>
    <t>CIF75066</t>
  </si>
  <si>
    <t>9810585,00</t>
  </si>
  <si>
    <t>CIF69210</t>
  </si>
  <si>
    <t>TRX629152</t>
  </si>
  <si>
    <t>02-06-2024 13:42:34</t>
  </si>
  <si>
    <t>CIF45118</t>
  </si>
  <si>
    <t>Rp35415656</t>
  </si>
  <si>
    <t>TRX599135</t>
  </si>
  <si>
    <t>2024-12-18 08:34:10</t>
  </si>
  <si>
    <t>CIF56779</t>
  </si>
  <si>
    <t>427187,00</t>
  </si>
  <si>
    <t>TRX916776</t>
  </si>
  <si>
    <t>CIF17097</t>
  </si>
  <si>
    <t>38040403,00</t>
  </si>
  <si>
    <t>TRX623147</t>
  </si>
  <si>
    <t>18-02-2024 14:20:10</t>
  </si>
  <si>
    <t>CIF26248</t>
  </si>
  <si>
    <t>200488</t>
  </si>
  <si>
    <t>TRX708455</t>
  </si>
  <si>
    <t>03 Sep 2024</t>
  </si>
  <si>
    <t>CIF90352</t>
  </si>
  <si>
    <t>Rp 40,121,879</t>
  </si>
  <si>
    <t>TRX995017</t>
  </si>
  <si>
    <t>24-03-2024 01:18:38</t>
  </si>
  <si>
    <t>CIF33943</t>
  </si>
  <si>
    <t>Rp114397</t>
  </si>
  <si>
    <t>TRX976720</t>
  </si>
  <si>
    <t>CIF20652</t>
  </si>
  <si>
    <t>1224923</t>
  </si>
  <si>
    <t>TRX504186</t>
  </si>
  <si>
    <t>08 Mar 2024</t>
  </si>
  <si>
    <t>CIF89098</t>
  </si>
  <si>
    <t>Rp 1,307,811</t>
  </si>
  <si>
    <t>CIF33651</t>
  </si>
  <si>
    <t>TRX904694</t>
  </si>
  <si>
    <t>13-11-2024 19:30:45</t>
  </si>
  <si>
    <t>CIF74542</t>
  </si>
  <si>
    <t>2360149</t>
  </si>
  <si>
    <t>TRX109968</t>
  </si>
  <si>
    <t>CIF54112</t>
  </si>
  <si>
    <t>4881659</t>
  </si>
  <si>
    <t>TRX297370</t>
  </si>
  <si>
    <t>11-10-2024 12:53:59</t>
  </si>
  <si>
    <t>CIF27985</t>
  </si>
  <si>
    <t>467564</t>
  </si>
  <si>
    <t>TRX912402</t>
  </si>
  <si>
    <t>05/06/2024 15:35</t>
  </si>
  <si>
    <t>CIF86269</t>
  </si>
  <si>
    <t>Rp 460,213</t>
  </si>
  <si>
    <t>TRX356622</t>
  </si>
  <si>
    <t>CIF64206</t>
  </si>
  <si>
    <t>83471</t>
  </si>
  <si>
    <t>TRX631316</t>
  </si>
  <si>
    <t>23/10/2024 23:33</t>
  </si>
  <si>
    <t>CIF69893</t>
  </si>
  <si>
    <t>3506396</t>
  </si>
  <si>
    <t>TRX490935</t>
  </si>
  <si>
    <t>CIF67001</t>
  </si>
  <si>
    <t>30734358,00</t>
  </si>
  <si>
    <t>TRX779112</t>
  </si>
  <si>
    <t>02-02-2024 20:52:29</t>
  </si>
  <si>
    <t>CIF86983</t>
  </si>
  <si>
    <t>812157</t>
  </si>
  <si>
    <t>TRX538539</t>
  </si>
  <si>
    <t>28-03-2024 10:14:56</t>
  </si>
  <si>
    <t>CIF66113</t>
  </si>
  <si>
    <t>2426882</t>
  </si>
  <si>
    <t>TRX438756</t>
  </si>
  <si>
    <t>CIF11974</t>
  </si>
  <si>
    <t>Rp 3,006,625</t>
  </si>
  <si>
    <t>TRX186997</t>
  </si>
  <si>
    <t>15 Sep 2024</t>
  </si>
  <si>
    <t>CIF79582</t>
  </si>
  <si>
    <t>18332995</t>
  </si>
  <si>
    <t>TRX600641</t>
  </si>
  <si>
    <t>29-11-2024 06:48:18</t>
  </si>
  <si>
    <t>CIF14763</t>
  </si>
  <si>
    <t>Rp40913461</t>
  </si>
  <si>
    <t>TRX626704</t>
  </si>
  <si>
    <t>CIF60246</t>
  </si>
  <si>
    <t>443134</t>
  </si>
  <si>
    <t>TRX377312</t>
  </si>
  <si>
    <t>29/02/2024 03:47</t>
  </si>
  <si>
    <t>CIF15778</t>
  </si>
  <si>
    <t>18663184</t>
  </si>
  <si>
    <t>TRX409307</t>
  </si>
  <si>
    <t>20-11-2024 04:19:43</t>
  </si>
  <si>
    <t>CIF37752</t>
  </si>
  <si>
    <t>Rp 468,629</t>
  </si>
  <si>
    <t>TRX868020</t>
  </si>
  <si>
    <t>25/09/2024 09:49</t>
  </si>
  <si>
    <t>CIF53684</t>
  </si>
  <si>
    <t>Rp 18,769,873</t>
  </si>
  <si>
    <t>TRX104539</t>
  </si>
  <si>
    <t>2024/02/20</t>
  </si>
  <si>
    <t>CIF71066</t>
  </si>
  <si>
    <t>1400303</t>
  </si>
  <si>
    <t>TRX139364</t>
  </si>
  <si>
    <t>28-05-2024 21:40:03</t>
  </si>
  <si>
    <t>CIF21804</t>
  </si>
  <si>
    <t>18041192</t>
  </si>
  <si>
    <t>TRX601946</t>
  </si>
  <si>
    <t>22/01/2024 01:14</t>
  </si>
  <si>
    <t>CIF82093</t>
  </si>
  <si>
    <t>31006380</t>
  </si>
  <si>
    <t>TRX134697</t>
  </si>
  <si>
    <t>24/06/2024 02:09</t>
  </si>
  <si>
    <t>CIF31967</t>
  </si>
  <si>
    <t>134752,00</t>
  </si>
  <si>
    <t>TRX655149</t>
  </si>
  <si>
    <t>2024-07-02 18:14:10</t>
  </si>
  <si>
    <t>CIF57026</t>
  </si>
  <si>
    <t>Rp19724462</t>
  </si>
  <si>
    <t>TRX508253</t>
  </si>
  <si>
    <t>2024/02/18</t>
  </si>
  <si>
    <t>CIF42032</t>
  </si>
  <si>
    <t>487894</t>
  </si>
  <si>
    <t>TRX339499</t>
  </si>
  <si>
    <t>2024-09-17 00:02:54</t>
  </si>
  <si>
    <t>CIF51934</t>
  </si>
  <si>
    <t>210791</t>
  </si>
  <si>
    <t>TRX469221</t>
  </si>
  <si>
    <t>2024-11-06 17:32:13</t>
  </si>
  <si>
    <t>CIF91567</t>
  </si>
  <si>
    <t>2077676.00</t>
  </si>
  <si>
    <t>TRX595104</t>
  </si>
  <si>
    <t>30-12-2024 06:20:08</t>
  </si>
  <si>
    <t>CIF89168</t>
  </si>
  <si>
    <t>Rp312829</t>
  </si>
  <si>
    <t>TRX711878</t>
  </si>
  <si>
    <t>23 Jul 2024</t>
  </si>
  <si>
    <t>CIF99353</t>
  </si>
  <si>
    <t>33330675,00</t>
  </si>
  <si>
    <t>TRX661671</t>
  </si>
  <si>
    <t>05/01/2024 22:53</t>
  </si>
  <si>
    <t>CIF41726</t>
  </si>
  <si>
    <t>1997246.00</t>
  </si>
  <si>
    <t>CIF85028</t>
  </si>
  <si>
    <t>TRX238205</t>
  </si>
  <si>
    <t>08/01/2024 11:50</t>
  </si>
  <si>
    <t>CIF69245</t>
  </si>
  <si>
    <t>13506621</t>
  </si>
  <si>
    <t>TRX535945</t>
  </si>
  <si>
    <t>2024/01/04</t>
  </si>
  <si>
    <t>CIF39908</t>
  </si>
  <si>
    <t>Rp29993780</t>
  </si>
  <si>
    <t>TRX321449</t>
  </si>
  <si>
    <t>2024-01-12 18:32:10</t>
  </si>
  <si>
    <t>CIF68237</t>
  </si>
  <si>
    <t>40885353</t>
  </si>
  <si>
    <t>TRX993796</t>
  </si>
  <si>
    <t>2024/09/21</t>
  </si>
  <si>
    <t>CIF85308</t>
  </si>
  <si>
    <t>1211171</t>
  </si>
  <si>
    <t>TRX665185</t>
  </si>
  <si>
    <t>09 Oct 2024</t>
  </si>
  <si>
    <t>CIF91899</t>
  </si>
  <si>
    <t>297785.00</t>
  </si>
  <si>
    <t>TRX744324</t>
  </si>
  <si>
    <t>2024-06-15 05:01:45</t>
  </si>
  <si>
    <t>CIF74615</t>
  </si>
  <si>
    <t>3963008.00</t>
  </si>
  <si>
    <t>TRX731399</t>
  </si>
  <si>
    <t>2024-10-23 21:53:10</t>
  </si>
  <si>
    <t>CIF86818</t>
  </si>
  <si>
    <t>218491,00</t>
  </si>
  <si>
    <t>TRX652891</t>
  </si>
  <si>
    <t>18-11-2024 20:33:05</t>
  </si>
  <si>
    <t>CIF15910</t>
  </si>
  <si>
    <t>13575824,00</t>
  </si>
  <si>
    <t>TRX552825</t>
  </si>
  <si>
    <t>2024/04/05</t>
  </si>
  <si>
    <t>CIF23965</t>
  </si>
  <si>
    <t>Rp428410</t>
  </si>
  <si>
    <t>TRX570392</t>
  </si>
  <si>
    <t>2024-11-11 00:57:05</t>
  </si>
  <si>
    <t>CIF18232</t>
  </si>
  <si>
    <t>297731.00</t>
  </si>
  <si>
    <t>TRX402630</t>
  </si>
  <si>
    <t>12-08-2024 03:29:44</t>
  </si>
  <si>
    <t>CIF98117</t>
  </si>
  <si>
    <t>293105,00</t>
  </si>
  <si>
    <t>TRX868367</t>
  </si>
  <si>
    <t>29 Jun 2024</t>
  </si>
  <si>
    <t>CIF38668</t>
  </si>
  <si>
    <t>27733.00</t>
  </si>
  <si>
    <t>TRX455505</t>
  </si>
  <si>
    <t>05-04-2024 15:44:31</t>
  </si>
  <si>
    <t>CIF50173</t>
  </si>
  <si>
    <t>4060961</t>
  </si>
  <si>
    <t>TRX624563</t>
  </si>
  <si>
    <t>2024-10-13 21:51:22</t>
  </si>
  <si>
    <t>CIF52568</t>
  </si>
  <si>
    <t>238704</t>
  </si>
  <si>
    <t>TRX709291</t>
  </si>
  <si>
    <t>03-09-2024 18:27:55</t>
  </si>
  <si>
    <t>CIF56843</t>
  </si>
  <si>
    <t>205665</t>
  </si>
  <si>
    <t>TRX756293</t>
  </si>
  <si>
    <t>2024/07/14</t>
  </si>
  <si>
    <t>CIF52799</t>
  </si>
  <si>
    <t>18272837</t>
  </si>
  <si>
    <t>TRX155315</t>
  </si>
  <si>
    <t>18-06-2024 02:20:59</t>
  </si>
  <si>
    <t>CIF49746</t>
  </si>
  <si>
    <t>29356495</t>
  </si>
  <si>
    <t>TRX964400</t>
  </si>
  <si>
    <t>2024-05-27 16:39:50</t>
  </si>
  <si>
    <t>CIF21624</t>
  </si>
  <si>
    <t>275889.00</t>
  </si>
  <si>
    <t>TRX581379</t>
  </si>
  <si>
    <t>CIF76993</t>
  </si>
  <si>
    <t>436306</t>
  </si>
  <si>
    <t>TRX670053</t>
  </si>
  <si>
    <t>19 Jan 2024</t>
  </si>
  <si>
    <t>CIF23886</t>
  </si>
  <si>
    <t>49130899</t>
  </si>
  <si>
    <t>TRX882506</t>
  </si>
  <si>
    <t>25-09-2024 07:47:12</t>
  </si>
  <si>
    <t>CIF84278</t>
  </si>
  <si>
    <t>Rp 4,756,518</t>
  </si>
  <si>
    <t>TRX891645</t>
  </si>
  <si>
    <t>14 Apr 2024</t>
  </si>
  <si>
    <t>CIF40116</t>
  </si>
  <si>
    <t>Rp4558074</t>
  </si>
  <si>
    <t>TRX372914</t>
  </si>
  <si>
    <t>09 Nov 2024</t>
  </si>
  <si>
    <t>CIF87170</t>
  </si>
  <si>
    <t>106892</t>
  </si>
  <si>
    <t>TRX114303</t>
  </si>
  <si>
    <t>2024-01-19 00:48:33</t>
  </si>
  <si>
    <t>CIF27195</t>
  </si>
  <si>
    <t>92284,00</t>
  </si>
  <si>
    <t>TRX528497</t>
  </si>
  <si>
    <t>2024-05-11 06:00:45</t>
  </si>
  <si>
    <t>CIF44249</t>
  </si>
  <si>
    <t>Rp13771</t>
  </si>
  <si>
    <t>TRX194009</t>
  </si>
  <si>
    <t>24-09-2024 09:09:34</t>
  </si>
  <si>
    <t>CIF34242</t>
  </si>
  <si>
    <t>183200.00</t>
  </si>
  <si>
    <t>TRX905973</t>
  </si>
  <si>
    <t>23-06-2024 14:50:08</t>
  </si>
  <si>
    <t>CIF50572</t>
  </si>
  <si>
    <t>30978</t>
  </si>
  <si>
    <t>TRX385109</t>
  </si>
  <si>
    <t>16/11/2024 01:54</t>
  </si>
  <si>
    <t>CIF76047</t>
  </si>
  <si>
    <t>34141899</t>
  </si>
  <si>
    <t>TRX590795</t>
  </si>
  <si>
    <t>2024/11/23</t>
  </si>
  <si>
    <t>CIF34832</t>
  </si>
  <si>
    <t>Rp 7,728,186</t>
  </si>
  <si>
    <t>TRX279420</t>
  </si>
  <si>
    <t>24-04-2024 01:34:15</t>
  </si>
  <si>
    <t>CIF52540</t>
  </si>
  <si>
    <t>Rp 496,144</t>
  </si>
  <si>
    <t>TRX544393</t>
  </si>
  <si>
    <t>11/07/2024 11:29</t>
  </si>
  <si>
    <t>CIF18367</t>
  </si>
  <si>
    <t>39327104,00</t>
  </si>
  <si>
    <t>TRX382967</t>
  </si>
  <si>
    <t>30/07/2024 07:47</t>
  </si>
  <si>
    <t>CIF51012</t>
  </si>
  <si>
    <t>4184991</t>
  </si>
  <si>
    <t>TRX492649</t>
  </si>
  <si>
    <t>04/06/2024 09:31</t>
  </si>
  <si>
    <t>CIF73068</t>
  </si>
  <si>
    <t>35507</t>
  </si>
  <si>
    <t>TRX619018</t>
  </si>
  <si>
    <t>2024/03/02</t>
  </si>
  <si>
    <t>CIF34191</t>
  </si>
  <si>
    <t>4479619</t>
  </si>
  <si>
    <t>TRX539976</t>
  </si>
  <si>
    <t>2024/08/16</t>
  </si>
  <si>
    <t>CIF13796</t>
  </si>
  <si>
    <t>28325603</t>
  </si>
  <si>
    <t>TRX693127</t>
  </si>
  <si>
    <t>10 Sep 2024</t>
  </si>
  <si>
    <t>CIF49021</t>
  </si>
  <si>
    <t>441637</t>
  </si>
  <si>
    <t>TRX510103</t>
  </si>
  <si>
    <t>2024/03/21</t>
  </si>
  <si>
    <t>CIF75860</t>
  </si>
  <si>
    <t>Rp483740</t>
  </si>
  <si>
    <t>TRX328994</t>
  </si>
  <si>
    <t>CIF97111</t>
  </si>
  <si>
    <t>Rp43342284</t>
  </si>
  <si>
    <t>TRX627290</t>
  </si>
  <si>
    <t>29-01-2024 03:33:09</t>
  </si>
  <si>
    <t>CIF75873</t>
  </si>
  <si>
    <t>Rp191415</t>
  </si>
  <si>
    <t>TRX345011</t>
  </si>
  <si>
    <t>2024/07/13</t>
  </si>
  <si>
    <t>CIF66595</t>
  </si>
  <si>
    <t>2922564</t>
  </si>
  <si>
    <t>TRX625021</t>
  </si>
  <si>
    <t>2024/07/10</t>
  </si>
  <si>
    <t>CIF35457</t>
  </si>
  <si>
    <t>Rp 48,020,051</t>
  </si>
  <si>
    <t>TRX133522</t>
  </si>
  <si>
    <t>02 Feb 2024</t>
  </si>
  <si>
    <t>CIF16608</t>
  </si>
  <si>
    <t>Rp2662768</t>
  </si>
  <si>
    <t>TRX893751</t>
  </si>
  <si>
    <t>2024/05/13</t>
  </si>
  <si>
    <t>CIF48170</t>
  </si>
  <si>
    <t>307916.00</t>
  </si>
  <si>
    <t>TRX855562</t>
  </si>
  <si>
    <t>10 Jun 2024</t>
  </si>
  <si>
    <t>CIF57226</t>
  </si>
  <si>
    <t>61891</t>
  </si>
  <si>
    <t>TRX443279</t>
  </si>
  <si>
    <t>19-12-2024 17:26:36</t>
  </si>
  <si>
    <t>CIF22594</t>
  </si>
  <si>
    <t>3069749</t>
  </si>
  <si>
    <t>TRX181023</t>
  </si>
  <si>
    <t>26/11/2024 07:08</t>
  </si>
  <si>
    <t>CIF31435</t>
  </si>
  <si>
    <t>30774268</t>
  </si>
  <si>
    <t>TRX138515</t>
  </si>
  <si>
    <t>26 Oct 2024</t>
  </si>
  <si>
    <t>CIF43844</t>
  </si>
  <si>
    <t>2921698,00</t>
  </si>
  <si>
    <t>TRX466353</t>
  </si>
  <si>
    <t>25-12-2024 02:37:56</t>
  </si>
  <si>
    <t>CIF89641</t>
  </si>
  <si>
    <t>121557</t>
  </si>
  <si>
    <t>TRX871037</t>
  </si>
  <si>
    <t>29 Nov 2024</t>
  </si>
  <si>
    <t>CIF87777</t>
  </si>
  <si>
    <t>207423</t>
  </si>
  <si>
    <t>TRX230485</t>
  </si>
  <si>
    <t>2024/06/28</t>
  </si>
  <si>
    <t>CIF14282</t>
  </si>
  <si>
    <t>22958945</t>
  </si>
  <si>
    <t>TRX786594</t>
  </si>
  <si>
    <t>2024-09-05 18:38:30</t>
  </si>
  <si>
    <t>CIF54284</t>
  </si>
  <si>
    <t>3869870</t>
  </si>
  <si>
    <t>TRX701987</t>
  </si>
  <si>
    <t>25 Apr 2024</t>
  </si>
  <si>
    <t>CIF84228</t>
  </si>
  <si>
    <t>497107</t>
  </si>
  <si>
    <t>TRX299903</t>
  </si>
  <si>
    <t>27 Dec 2024</t>
  </si>
  <si>
    <t>CIF37508</t>
  </si>
  <si>
    <t>Rp3407762</t>
  </si>
  <si>
    <t>TRX586806</t>
  </si>
  <si>
    <t>06/01/2024 06:54</t>
  </si>
  <si>
    <t>CIF59280</t>
  </si>
  <si>
    <t>95659</t>
  </si>
  <si>
    <t>TRX509668</t>
  </si>
  <si>
    <t>27 Sep 2024</t>
  </si>
  <si>
    <t>CIF89791</t>
  </si>
  <si>
    <t>Rp 2,934,317</t>
  </si>
  <si>
    <t>TRX684195</t>
  </si>
  <si>
    <t>2024-01-21 02:20:31</t>
  </si>
  <si>
    <t>CIF33500</t>
  </si>
  <si>
    <t>395967.00</t>
  </si>
  <si>
    <t>TRX899049</t>
  </si>
  <si>
    <t>2024/03/10</t>
  </si>
  <si>
    <t>CIF57876</t>
  </si>
  <si>
    <t>Rp 304,213</t>
  </si>
  <si>
    <t>TRX497201</t>
  </si>
  <si>
    <t>17-10-2024 23:17:03</t>
  </si>
  <si>
    <t>CIF50001</t>
  </si>
  <si>
    <t>4340192,00</t>
  </si>
  <si>
    <t>TRX107217</t>
  </si>
  <si>
    <t>17 Jan 2024</t>
  </si>
  <si>
    <t>CIF48399</t>
  </si>
  <si>
    <t>22450267</t>
  </si>
  <si>
    <t>TRX757673</t>
  </si>
  <si>
    <t>19/10/2024 00:42</t>
  </si>
  <si>
    <t>CIF14127</t>
  </si>
  <si>
    <t>396649</t>
  </si>
  <si>
    <t>TRX456222</t>
  </si>
  <si>
    <t>2024-08-19 03:33:16</t>
  </si>
  <si>
    <t>CIF19094</t>
  </si>
  <si>
    <t>-41009</t>
  </si>
  <si>
    <t>TRX810219</t>
  </si>
  <si>
    <t>CIF96356</t>
  </si>
  <si>
    <t>33849305.00</t>
  </si>
  <si>
    <t>TRX753523</t>
  </si>
  <si>
    <t>02 Apr 2024</t>
  </si>
  <si>
    <t>CIF14385</t>
  </si>
  <si>
    <t>33505956,00</t>
  </si>
  <si>
    <t>TRX777968</t>
  </si>
  <si>
    <t>2024-02-06 23:43:09</t>
  </si>
  <si>
    <t>CIF69129</t>
  </si>
  <si>
    <t>55886.00</t>
  </si>
  <si>
    <t>TRX326061</t>
  </si>
  <si>
    <t>2024-08-22 06:45:21</t>
  </si>
  <si>
    <t>CIF86692</t>
  </si>
  <si>
    <t>35694780</t>
  </si>
  <si>
    <t>TRX705397</t>
  </si>
  <si>
    <t>08/04/2024 22:04</t>
  </si>
  <si>
    <t>CIF89840</t>
  </si>
  <si>
    <t>1347261</t>
  </si>
  <si>
    <t>TRX288667</t>
  </si>
  <si>
    <t>2024/12/15</t>
  </si>
  <si>
    <t>CIF59412</t>
  </si>
  <si>
    <t>2943863,00</t>
  </si>
  <si>
    <t>TRX227324</t>
  </si>
  <si>
    <t>15/01/2024 20:38</t>
  </si>
  <si>
    <t>CIF48254</t>
  </si>
  <si>
    <t>Rp 17,169</t>
  </si>
  <si>
    <t>TRX622873</t>
  </si>
  <si>
    <t>2024-01-24 08:26:07</t>
  </si>
  <si>
    <t>CIF62797</t>
  </si>
  <si>
    <t>210727</t>
  </si>
  <si>
    <t>TRX760943</t>
  </si>
  <si>
    <t>2024-10-07 23:26:34</t>
  </si>
  <si>
    <t>CIF40263</t>
  </si>
  <si>
    <t>4899389.00</t>
  </si>
  <si>
    <t>TRX397949</t>
  </si>
  <si>
    <t>09 May 2024</t>
  </si>
  <si>
    <t>CIF26750</t>
  </si>
  <si>
    <t>Rp 1,686,387</t>
  </si>
  <si>
    <t>TRX188759</t>
  </si>
  <si>
    <t>30 Sep 2024</t>
  </si>
  <si>
    <t>CIF47401</t>
  </si>
  <si>
    <t>Rp 4,165,967</t>
  </si>
  <si>
    <t>TRX159611</t>
  </si>
  <si>
    <t>CIF18791</t>
  </si>
  <si>
    <t>3580220.00</t>
  </si>
  <si>
    <t>TRX315425</t>
  </si>
  <si>
    <t>2024/09/22</t>
  </si>
  <si>
    <t>CIF60703</t>
  </si>
  <si>
    <t>269463</t>
  </si>
  <si>
    <t>TRX699573</t>
  </si>
  <si>
    <t>2024/07/15</t>
  </si>
  <si>
    <t>CIF23154</t>
  </si>
  <si>
    <t>30909306</t>
  </si>
  <si>
    <t>TRX781571</t>
  </si>
  <si>
    <t>03-06-2024 05:55:59</t>
  </si>
  <si>
    <t>CIF10142</t>
  </si>
  <si>
    <t>49594431.00</t>
  </si>
  <si>
    <t>TRX526850</t>
  </si>
  <si>
    <t>03/02/2024 15:01</t>
  </si>
  <si>
    <t>CIF28660</t>
  </si>
  <si>
    <t>21529993</t>
  </si>
  <si>
    <t>TRX997135</t>
  </si>
  <si>
    <t>24-04-2024 18:43:49</t>
  </si>
  <si>
    <t>CIF26688</t>
  </si>
  <si>
    <t>Rp 495,153</t>
  </si>
  <si>
    <t>TRX618746</t>
  </si>
  <si>
    <t>17-05-2024 10:53:18</t>
  </si>
  <si>
    <t>CIF67840</t>
  </si>
  <si>
    <t>28067975</t>
  </si>
  <si>
    <t>CIF40653</t>
  </si>
  <si>
    <t>TRX796990</t>
  </si>
  <si>
    <t>02/07/2024 15:25</t>
  </si>
  <si>
    <t>CIF96017</t>
  </si>
  <si>
    <t>10796697</t>
  </si>
  <si>
    <t>TRX856277</t>
  </si>
  <si>
    <t>2024-07-08 16:16:44</t>
  </si>
  <si>
    <t>CIF92250</t>
  </si>
  <si>
    <t>429147,00</t>
  </si>
  <si>
    <t>TRX478387</t>
  </si>
  <si>
    <t>CIF58717</t>
  </si>
  <si>
    <t>8749081</t>
  </si>
  <si>
    <t>TRX801145</t>
  </si>
  <si>
    <t>CIF27596</t>
  </si>
  <si>
    <t>Rp311837</t>
  </si>
  <si>
    <t>TRX508396</t>
  </si>
  <si>
    <t>CIF73654</t>
  </si>
  <si>
    <t>33120042.00</t>
  </si>
  <si>
    <t>TRX980660</t>
  </si>
  <si>
    <t>22 Nov 2024</t>
  </si>
  <si>
    <t>CIF38043</t>
  </si>
  <si>
    <t>Rp240619</t>
  </si>
  <si>
    <t>CIF81660</t>
  </si>
  <si>
    <t>TRX862120</t>
  </si>
  <si>
    <t>2024-06-29 19:27:17</t>
  </si>
  <si>
    <t>CIF57467</t>
  </si>
  <si>
    <t>200479</t>
  </si>
  <si>
    <t>TRX269430</t>
  </si>
  <si>
    <t>14 Aug 2024</t>
  </si>
  <si>
    <t>CIF37535</t>
  </si>
  <si>
    <t>29777665</t>
  </si>
  <si>
    <t>TRX891787</t>
  </si>
  <si>
    <t>28/10/2024 17:47</t>
  </si>
  <si>
    <t>CIF27048</t>
  </si>
  <si>
    <t>245308</t>
  </si>
  <si>
    <t>TRX288538</t>
  </si>
  <si>
    <t>2024/05/12</t>
  </si>
  <si>
    <t>CIF17970</t>
  </si>
  <si>
    <t>87018</t>
  </si>
  <si>
    <t>TRX567383</t>
  </si>
  <si>
    <t>02/02/2024 12:38</t>
  </si>
  <si>
    <t>CIF64401</t>
  </si>
  <si>
    <t>827866,00</t>
  </si>
  <si>
    <t>TRX447412</t>
  </si>
  <si>
    <t>27 Jul 2024</t>
  </si>
  <si>
    <t>CIF40352</t>
  </si>
  <si>
    <t>37007776</t>
  </si>
  <si>
    <t>TRX758765</t>
  </si>
  <si>
    <t>19-02-2024 20:41:02</t>
  </si>
  <si>
    <t>CIF43681</t>
  </si>
  <si>
    <t>1602362</t>
  </si>
  <si>
    <t>TRX777406</t>
  </si>
  <si>
    <t>2024-12-09 13:32:23</t>
  </si>
  <si>
    <t>CIF96760</t>
  </si>
  <si>
    <t>Rp 189,166</t>
  </si>
  <si>
    <t>TRX661988</t>
  </si>
  <si>
    <t>12/01/2024 16:32</t>
  </si>
  <si>
    <t>CIF22054</t>
  </si>
  <si>
    <t>Rp2319973</t>
  </si>
  <si>
    <t>TRX627786</t>
  </si>
  <si>
    <t>2024-10-28 09:10:04</t>
  </si>
  <si>
    <t>CIF34697</t>
  </si>
  <si>
    <t>45021707</t>
  </si>
  <si>
    <t>TRX853067</t>
  </si>
  <si>
    <t>2024/04/06</t>
  </si>
  <si>
    <t>CIF41813</t>
  </si>
  <si>
    <t>46545398,00</t>
  </si>
  <si>
    <t>TRX991904</t>
  </si>
  <si>
    <t>10-11-2024 12:01:34</t>
  </si>
  <si>
    <t>CIF20139</t>
  </si>
  <si>
    <t>4895088</t>
  </si>
  <si>
    <t>TRX412856</t>
  </si>
  <si>
    <t>2024/08/25</t>
  </si>
  <si>
    <t>CIF41544</t>
  </si>
  <si>
    <t>3403798</t>
  </si>
  <si>
    <t>TRX130354</t>
  </si>
  <si>
    <t>29/03/2024 06:56</t>
  </si>
  <si>
    <t>CIF41711</t>
  </si>
  <si>
    <t>29184362</t>
  </si>
  <si>
    <t>TRX477898</t>
  </si>
  <si>
    <t>07-06-2024 02:27:54</t>
  </si>
  <si>
    <t>CIF33246</t>
  </si>
  <si>
    <t>351014</t>
  </si>
  <si>
    <t>TRX177149</t>
  </si>
  <si>
    <t>2024/09/06</t>
  </si>
  <si>
    <t>CIF73427</t>
  </si>
  <si>
    <t>1851435</t>
  </si>
  <si>
    <t>TRX632073</t>
  </si>
  <si>
    <t>10-02-2024 13:46:29</t>
  </si>
  <si>
    <t>CIF20487</t>
  </si>
  <si>
    <t>232306.00</t>
  </si>
  <si>
    <t>TRX132897</t>
  </si>
  <si>
    <t>07 Mar 2024</t>
  </si>
  <si>
    <t>CIF63371</t>
  </si>
  <si>
    <t>4443660</t>
  </si>
  <si>
    <t>TRX742686</t>
  </si>
  <si>
    <t>28/01/2024 00:41</t>
  </si>
  <si>
    <t>CIF40801</t>
  </si>
  <si>
    <t>1887508.00</t>
  </si>
  <si>
    <t>TRX549449</t>
  </si>
  <si>
    <t>CIF10285</t>
  </si>
  <si>
    <t>337553,00</t>
  </si>
  <si>
    <t>TRX948875</t>
  </si>
  <si>
    <t>2024/09/05</t>
  </si>
  <si>
    <t>CIF20747</t>
  </si>
  <si>
    <t>1955785</t>
  </si>
  <si>
    <t>TRX666157</t>
  </si>
  <si>
    <t>16/10/2024 04:20</t>
  </si>
  <si>
    <t>CIF81847</t>
  </si>
  <si>
    <t>243631</t>
  </si>
  <si>
    <t>TRX111737</t>
  </si>
  <si>
    <t>2024-07-09 01:32:50</t>
  </si>
  <si>
    <t>CIF72688</t>
  </si>
  <si>
    <t>4950318</t>
  </si>
  <si>
    <t>TRX627217</t>
  </si>
  <si>
    <t>07-01-2024 19:17:02</t>
  </si>
  <si>
    <t>CIF74264</t>
  </si>
  <si>
    <t>23399494</t>
  </si>
  <si>
    <t>TRX859143</t>
  </si>
  <si>
    <t>24-05-2024 00:58:33</t>
  </si>
  <si>
    <t>CIF99837</t>
  </si>
  <si>
    <t>32990</t>
  </si>
  <si>
    <t>TRX372374</t>
  </si>
  <si>
    <t>2024-11-17 16:22:07</t>
  </si>
  <si>
    <t>CIF59501</t>
  </si>
  <si>
    <t>543733.00</t>
  </si>
  <si>
    <t>TRX962767</t>
  </si>
  <si>
    <t>03 Jun 2024</t>
  </si>
  <si>
    <t>CIF33510</t>
  </si>
  <si>
    <t>Rp 520,524</t>
  </si>
  <si>
    <t>TRX913063</t>
  </si>
  <si>
    <t>03-12-2024 16:16:08</t>
  </si>
  <si>
    <t>CIF52422</t>
  </si>
  <si>
    <t>Rp 333,734</t>
  </si>
  <si>
    <t>TRX746030</t>
  </si>
  <si>
    <t>2024-06-02 13:21:10</t>
  </si>
  <si>
    <t>CIF36911</t>
  </si>
  <si>
    <t>125031</t>
  </si>
  <si>
    <t>TRX510059</t>
  </si>
  <si>
    <t>06-02-2024 16:46:18</t>
  </si>
  <si>
    <t>CIF67918</t>
  </si>
  <si>
    <t>1316375,00</t>
  </si>
  <si>
    <t>TRX726040</t>
  </si>
  <si>
    <t>08-06-2024 05:36:27</t>
  </si>
  <si>
    <t>CIF22588</t>
  </si>
  <si>
    <t>32938245</t>
  </si>
  <si>
    <t>TRX536440</t>
  </si>
  <si>
    <t>21/12/2024 15:44</t>
  </si>
  <si>
    <t>CIF55593</t>
  </si>
  <si>
    <t>246149</t>
  </si>
  <si>
    <t>TRX795556</t>
  </si>
  <si>
    <t>18/06/2024 10:23</t>
  </si>
  <si>
    <t>CIF59987</t>
  </si>
  <si>
    <t>12698859.00</t>
  </si>
  <si>
    <t>TRX942918</t>
  </si>
  <si>
    <t>06 Feb 2024</t>
  </si>
  <si>
    <t>CIF17821</t>
  </si>
  <si>
    <t>9871438</t>
  </si>
  <si>
    <t>TRX206470</t>
  </si>
  <si>
    <t>25 Mar 2024</t>
  </si>
  <si>
    <t>CIF67185</t>
  </si>
  <si>
    <t>Rp 6,378,255</t>
  </si>
  <si>
    <t>TRX187859</t>
  </si>
  <si>
    <t>18-03-2024 00:37:37</t>
  </si>
  <si>
    <t>CIF83941</t>
  </si>
  <si>
    <t>16859630.00</t>
  </si>
  <si>
    <t>TRX139286</t>
  </si>
  <si>
    <t>2024-01-05 09:36:38</t>
  </si>
  <si>
    <t>CIF94972</t>
  </si>
  <si>
    <t>Rp 248,209</t>
  </si>
  <si>
    <t>TRX794037</t>
  </si>
  <si>
    <t>2024-09-28 14:22:16</t>
  </si>
  <si>
    <t>CIF65389</t>
  </si>
  <si>
    <t>2278938,00</t>
  </si>
  <si>
    <t>TRX880360</t>
  </si>
  <si>
    <t>06-06-2024 13:50:56</t>
  </si>
  <si>
    <t>CIF99220</t>
  </si>
  <si>
    <t>Rp 253,144</t>
  </si>
  <si>
    <t>TRX301961</t>
  </si>
  <si>
    <t>32281889,00</t>
  </si>
  <si>
    <t>TRX505695</t>
  </si>
  <si>
    <t>2024/06/13</t>
  </si>
  <si>
    <t>CIF33049</t>
  </si>
  <si>
    <t>2060825</t>
  </si>
  <si>
    <t>TRX453637</t>
  </si>
  <si>
    <t>CIF25765</t>
  </si>
  <si>
    <t>Rp3372049</t>
  </si>
  <si>
    <t>TRX356600</t>
  </si>
  <si>
    <t>07 Oct 2024</t>
  </si>
  <si>
    <t>CIF24272</t>
  </si>
  <si>
    <t>8695278,00</t>
  </si>
  <si>
    <t>TRX181290</t>
  </si>
  <si>
    <t>18 May 2024</t>
  </si>
  <si>
    <t>CIF23762</t>
  </si>
  <si>
    <t>200221</t>
  </si>
  <si>
    <t>TRX930116</t>
  </si>
  <si>
    <t>24-02-2024 17:47:52</t>
  </si>
  <si>
    <t>CIF92245</t>
  </si>
  <si>
    <t>4530100.00</t>
  </si>
  <si>
    <t>TRX535352</t>
  </si>
  <si>
    <t>CIF58722</t>
  </si>
  <si>
    <t>2013275</t>
  </si>
  <si>
    <t>TRX422266</t>
  </si>
  <si>
    <t>19 Feb 2024</t>
  </si>
  <si>
    <t>CIF52151</t>
  </si>
  <si>
    <t>44928257</t>
  </si>
  <si>
    <t>CIF98964</t>
  </si>
  <si>
    <t>TRX404550</t>
  </si>
  <si>
    <t>03-01-2024 07:42:52</t>
  </si>
  <si>
    <t>CIF36853</t>
  </si>
  <si>
    <t>204921</t>
  </si>
  <si>
    <t>TRX643810</t>
  </si>
  <si>
    <t>09/08/2024 03:43</t>
  </si>
  <si>
    <t>CIF45162</t>
  </si>
  <si>
    <t>799372</t>
  </si>
  <si>
    <t>TRX282085</t>
  </si>
  <si>
    <t>06 Mar 2024</t>
  </si>
  <si>
    <t>CIF28111</t>
  </si>
  <si>
    <t>33096115</t>
  </si>
  <si>
    <t>TRX701949</t>
  </si>
  <si>
    <t>25-05-2024 15:30:28</t>
  </si>
  <si>
    <t>CIF21164</t>
  </si>
  <si>
    <t>461791</t>
  </si>
  <si>
    <t>TRX672130</t>
  </si>
  <si>
    <t>19-04-2024 12:49:35</t>
  </si>
  <si>
    <t>CIF51275</t>
  </si>
  <si>
    <t>501641,00</t>
  </si>
  <si>
    <t>TRX702485</t>
  </si>
  <si>
    <t>2024-01-02 20:13:45</t>
  </si>
  <si>
    <t>CIF96444</t>
  </si>
  <si>
    <t>3363509</t>
  </si>
  <si>
    <t>TRX393768</t>
  </si>
  <si>
    <t>06-11-2024 03:27:11</t>
  </si>
  <si>
    <t>CIF87189</t>
  </si>
  <si>
    <t>-11501991</t>
  </si>
  <si>
    <t>TRX868394</t>
  </si>
  <si>
    <t>28 Jul 2024</t>
  </si>
  <si>
    <t>CIF89370</t>
  </si>
  <si>
    <t>2432314.00</t>
  </si>
  <si>
    <t>TRX705073</t>
  </si>
  <si>
    <t>12-10-2024 17:56:57</t>
  </si>
  <si>
    <t>CIF75388</t>
  </si>
  <si>
    <t>23720998</t>
  </si>
  <si>
    <t>TRX327337</t>
  </si>
  <si>
    <t>18/09/2024 00:19</t>
  </si>
  <si>
    <t>CIF97428</t>
  </si>
  <si>
    <t>3759575</t>
  </si>
  <si>
    <t>TRX909289</t>
  </si>
  <si>
    <t>2024/06/14</t>
  </si>
  <si>
    <t>CIF85039</t>
  </si>
  <si>
    <t>2686904</t>
  </si>
  <si>
    <t>TRX878476</t>
  </si>
  <si>
    <t>27 Nov 2024</t>
  </si>
  <si>
    <t>CIF91338</t>
  </si>
  <si>
    <t>3700947</t>
  </si>
  <si>
    <t>TRX488984</t>
  </si>
  <si>
    <t>09 Jul 2024</t>
  </si>
  <si>
    <t>CIF38124</t>
  </si>
  <si>
    <t>Rp 174,828</t>
  </si>
  <si>
    <t>TRX509599</t>
  </si>
  <si>
    <t>19/09/2024 02:11</t>
  </si>
  <si>
    <t>CIF59351</t>
  </si>
  <si>
    <t>Rp 4,354,412</t>
  </si>
  <si>
    <t>TRX324381</t>
  </si>
  <si>
    <t>13 Apr 2024</t>
  </si>
  <si>
    <t>CIF23178</t>
  </si>
  <si>
    <t>332792</t>
  </si>
  <si>
    <t>TRX446290</t>
  </si>
  <si>
    <t>2024/02/11</t>
  </si>
  <si>
    <t>CIF70402</t>
  </si>
  <si>
    <t>110764</t>
  </si>
  <si>
    <t>TRX444295</t>
  </si>
  <si>
    <t>11 Nov 2024</t>
  </si>
  <si>
    <t>CIF99073</t>
  </si>
  <si>
    <t>433467</t>
  </si>
  <si>
    <t>TRX109294</t>
  </si>
  <si>
    <t>2024-02-21 13:31:12</t>
  </si>
  <si>
    <t>CIF80310</t>
  </si>
  <si>
    <t>74929</t>
  </si>
  <si>
    <t>TRX383023</t>
  </si>
  <si>
    <t>23 Dec 2024</t>
  </si>
  <si>
    <t>CIF46771</t>
  </si>
  <si>
    <t>1741526.00</t>
  </si>
  <si>
    <t>TRX225008</t>
  </si>
  <si>
    <t>14 Mar 2024</t>
  </si>
  <si>
    <t>CIF94388</t>
  </si>
  <si>
    <t>200688</t>
  </si>
  <si>
    <t>TRX823812</t>
  </si>
  <si>
    <t>2024/01/06</t>
  </si>
  <si>
    <t>CIF30830</t>
  </si>
  <si>
    <t>47046192.00</t>
  </si>
  <si>
    <t>TRX746781</t>
  </si>
  <si>
    <t>2024-08-20 01:06:47</t>
  </si>
  <si>
    <t>CIF40154</t>
  </si>
  <si>
    <t>37551919</t>
  </si>
  <si>
    <t>TRX362241</t>
  </si>
  <si>
    <t>29-03-2024 06:43:54</t>
  </si>
  <si>
    <t>CIF91646</t>
  </si>
  <si>
    <t>425840</t>
  </si>
  <si>
    <t>TRX758589</t>
  </si>
  <si>
    <t>2024/03/18</t>
  </si>
  <si>
    <t>CIF42527</t>
  </si>
  <si>
    <t>Rp44565635</t>
  </si>
  <si>
    <t>TRX474440</t>
  </si>
  <si>
    <t>2024-02-04 11:15:46</t>
  </si>
  <si>
    <t>CIF27675</t>
  </si>
  <si>
    <t>3455298</t>
  </si>
  <si>
    <t>TRX370804</t>
  </si>
  <si>
    <t>CIF31983</t>
  </si>
  <si>
    <t>Rp4268190</t>
  </si>
  <si>
    <t>TRX927043</t>
  </si>
  <si>
    <t>22/10/2024 20:48</t>
  </si>
  <si>
    <t>CIF54295</t>
  </si>
  <si>
    <t>668426</t>
  </si>
  <si>
    <t>TRX330283</t>
  </si>
  <si>
    <t>2024-12-16 10:53:49</t>
  </si>
  <si>
    <t>CIF28726</t>
  </si>
  <si>
    <t>220325.00</t>
  </si>
  <si>
    <t>TRX993916</t>
  </si>
  <si>
    <t>30 May 2024</t>
  </si>
  <si>
    <t>CIF63219</t>
  </si>
  <si>
    <t>3513562</t>
  </si>
  <si>
    <t>TRX717429</t>
  </si>
  <si>
    <t>07 Sep 2024</t>
  </si>
  <si>
    <t>CIF11244</t>
  </si>
  <si>
    <t>902345</t>
  </si>
  <si>
    <t>CIF25071</t>
  </si>
  <si>
    <t>TRX451367</t>
  </si>
  <si>
    <t>28 Mar 2024</t>
  </si>
  <si>
    <t>CIF67331</t>
  </si>
  <si>
    <t>Rp8461541</t>
  </si>
  <si>
    <t>TRX331081</t>
  </si>
  <si>
    <t>2024-05-11 21:30:57</t>
  </si>
  <si>
    <t>CIF95710</t>
  </si>
  <si>
    <t>20019380</t>
  </si>
  <si>
    <t>TRX972470</t>
  </si>
  <si>
    <t>2024/07/07</t>
  </si>
  <si>
    <t>CIF70755</t>
  </si>
  <si>
    <t>4048973</t>
  </si>
  <si>
    <t>TRX570726</t>
  </si>
  <si>
    <t>05-03-2024 04:46:04</t>
  </si>
  <si>
    <t>CIF96007</t>
  </si>
  <si>
    <t>4539926,00</t>
  </si>
  <si>
    <t>TRX629315</t>
  </si>
  <si>
    <t>13 May 2024</t>
  </si>
  <si>
    <t>CIF31514</t>
  </si>
  <si>
    <t>1499369</t>
  </si>
  <si>
    <t>TRX670977</t>
  </si>
  <si>
    <t>2024-12-21 07:11:42</t>
  </si>
  <si>
    <t>CIF52914</t>
  </si>
  <si>
    <t>26835754</t>
  </si>
  <si>
    <t>TRX933071</t>
  </si>
  <si>
    <t>16-04-2024 21:05:39</t>
  </si>
  <si>
    <t>CIF83499</t>
  </si>
  <si>
    <t>487104</t>
  </si>
  <si>
    <t>TRX964119</t>
  </si>
  <si>
    <t>2024/05/24</t>
  </si>
  <si>
    <t>CIF52368</t>
  </si>
  <si>
    <t>25085</t>
  </si>
  <si>
    <t>TRX365045</t>
  </si>
  <si>
    <t>2024-04-16 16:02:29</t>
  </si>
  <si>
    <t>CIF73538</t>
  </si>
  <si>
    <t>Rp209835</t>
  </si>
  <si>
    <t>TRX627335</t>
  </si>
  <si>
    <t>27/09/2024 13:10</t>
  </si>
  <si>
    <t>CIF45755</t>
  </si>
  <si>
    <t>Rp 29,911,622</t>
  </si>
  <si>
    <t>TRX235492</t>
  </si>
  <si>
    <t>2024-11-05 17:01:46</t>
  </si>
  <si>
    <t>CIF40059</t>
  </si>
  <si>
    <t>488270.00</t>
  </si>
  <si>
    <t>TRX297503</t>
  </si>
  <si>
    <t>22/08/2024 02:05</t>
  </si>
  <si>
    <t>CIF72115</t>
  </si>
  <si>
    <t>12517842</t>
  </si>
  <si>
    <t>TRX222621</t>
  </si>
  <si>
    <t>2024/09/10</t>
  </si>
  <si>
    <t>CIF27191</t>
  </si>
  <si>
    <t>2112301</t>
  </si>
  <si>
    <t>TRX393212</t>
  </si>
  <si>
    <t>CIF65249</t>
  </si>
  <si>
    <t>Rp2478077</t>
  </si>
  <si>
    <t>TRX302957</t>
  </si>
  <si>
    <t>2024-01-01 03:01:29</t>
  </si>
  <si>
    <t>CIF50340</t>
  </si>
  <si>
    <t>3973228.00</t>
  </si>
  <si>
    <t>TRX871667</t>
  </si>
  <si>
    <t>2024/09/04</t>
  </si>
  <si>
    <t>CIF23529</t>
  </si>
  <si>
    <t>132693</t>
  </si>
  <si>
    <t>TRX622952</t>
  </si>
  <si>
    <t>31/05/2024 06:09</t>
  </si>
  <si>
    <t>CIF40016</t>
  </si>
  <si>
    <t>3257250</t>
  </si>
  <si>
    <t>CIF76881</t>
  </si>
  <si>
    <t>TRX575458</t>
  </si>
  <si>
    <t>CIF80931</t>
  </si>
  <si>
    <t>682623</t>
  </si>
  <si>
    <t>CIF23413</t>
  </si>
  <si>
    <t>TRX804758</t>
  </si>
  <si>
    <t>09-03-2024 10:07:15</t>
  </si>
  <si>
    <t>CIF28388</t>
  </si>
  <si>
    <t>Rp33067551</t>
  </si>
  <si>
    <t>CIF16263</t>
  </si>
  <si>
    <t>TRX846389</t>
  </si>
  <si>
    <t>01/10/2024 09:11</t>
  </si>
  <si>
    <t>CIF68776</t>
  </si>
  <si>
    <t>1560936</t>
  </si>
  <si>
    <t>TRX420756</t>
  </si>
  <si>
    <t>2024-09-11 09:49:43</t>
  </si>
  <si>
    <t>CIF60449</t>
  </si>
  <si>
    <t>44424434</t>
  </si>
  <si>
    <t>TRX449709</t>
  </si>
  <si>
    <t>04/05/2024 04:50</t>
  </si>
  <si>
    <t>CIF80807</t>
  </si>
  <si>
    <t>2311531,00</t>
  </si>
  <si>
    <t>TRX202747</t>
  </si>
  <si>
    <t>2024/03/16</t>
  </si>
  <si>
    <t>CIF93422</t>
  </si>
  <si>
    <t>475834</t>
  </si>
  <si>
    <t>TRX789186</t>
  </si>
  <si>
    <t>14-10-2024 00:53:52</t>
  </si>
  <si>
    <t>CIF81368</t>
  </si>
  <si>
    <t>Rp14560078</t>
  </si>
  <si>
    <t>TRX776096</t>
  </si>
  <si>
    <t>CIF94029</t>
  </si>
  <si>
    <t>405151</t>
  </si>
  <si>
    <t>TRX783728</t>
  </si>
  <si>
    <t>20 Jan 2024</t>
  </si>
  <si>
    <t>CIF80157</t>
  </si>
  <si>
    <t>288262</t>
  </si>
  <si>
    <t>TRX491172</t>
  </si>
  <si>
    <t>26/07/2024 14:36</t>
  </si>
  <si>
    <t>CIF66873</t>
  </si>
  <si>
    <t>765788</t>
  </si>
  <si>
    <t>TRX629016</t>
  </si>
  <si>
    <t>2024-12-26 23:26:01</t>
  </si>
  <si>
    <t>CIF23065</t>
  </si>
  <si>
    <t>18038183</t>
  </si>
  <si>
    <t>TRX861593</t>
  </si>
  <si>
    <t>12-07-2024 08:42:03</t>
  </si>
  <si>
    <t>CIF74781</t>
  </si>
  <si>
    <t>1367543,00</t>
  </si>
  <si>
    <t>TRX319162</t>
  </si>
  <si>
    <t>CIF90997</t>
  </si>
  <si>
    <t>392690,00</t>
  </si>
  <si>
    <t>TRX859252</t>
  </si>
  <si>
    <t>2024-06-13 11:02:09</t>
  </si>
  <si>
    <t>CIF84906</t>
  </si>
  <si>
    <t>Rp 31,006,514</t>
  </si>
  <si>
    <t>TRX331512</t>
  </si>
  <si>
    <t>11/11/2024 08:12</t>
  </si>
  <si>
    <t>CIF97988</t>
  </si>
  <si>
    <t>24505370</t>
  </si>
  <si>
    <t>TRX359409</t>
  </si>
  <si>
    <t>CIF60747</t>
  </si>
  <si>
    <t>28849022,00</t>
  </si>
  <si>
    <t>TRX641058</t>
  </si>
  <si>
    <t>CIF10583</t>
  </si>
  <si>
    <t>428253.00</t>
  </si>
  <si>
    <t>TRX109363</t>
  </si>
  <si>
    <t>2024/01/22</t>
  </si>
  <si>
    <t>CIF80300</t>
  </si>
  <si>
    <t>414119</t>
  </si>
  <si>
    <t>TRX454584</t>
  </si>
  <si>
    <t>2024-02-11 13:21:48</t>
  </si>
  <si>
    <t>CIF41360</t>
  </si>
  <si>
    <t>Rp 15,400,800</t>
  </si>
  <si>
    <t>TRX110043</t>
  </si>
  <si>
    <t>CIF26353</t>
  </si>
  <si>
    <t>34875307</t>
  </si>
  <si>
    <t>TRX705393</t>
  </si>
  <si>
    <t>22-02-2024 17:11:23</t>
  </si>
  <si>
    <t>CIF90918</t>
  </si>
  <si>
    <t>Rp 40,414,355</t>
  </si>
  <si>
    <t>TRX236017</t>
  </si>
  <si>
    <t>2024-11-06 12:30:42</t>
  </si>
  <si>
    <t>CIF82273</t>
  </si>
  <si>
    <t>38214139.00</t>
  </si>
  <si>
    <t>TRX870883</t>
  </si>
  <si>
    <t>09 Mar 2024</t>
  </si>
  <si>
    <t>CIF21662</t>
  </si>
  <si>
    <t>54249.00</t>
  </si>
  <si>
    <t>TRX393033</t>
  </si>
  <si>
    <t>09-08-2024 06:39:32</t>
  </si>
  <si>
    <t>CIF94730</t>
  </si>
  <si>
    <t>404628</t>
  </si>
  <si>
    <t>TRX288724</t>
  </si>
  <si>
    <t>CIF79316</t>
  </si>
  <si>
    <t>465931</t>
  </si>
  <si>
    <t>TRX761032</t>
  </si>
  <si>
    <t>CIF65312</t>
  </si>
  <si>
    <t>37621683</t>
  </si>
  <si>
    <t>TRX384427</t>
  </si>
  <si>
    <t>27-05-2024 19:32:14</t>
  </si>
  <si>
    <t>CIF90354</t>
  </si>
  <si>
    <t>2104460,00</t>
  </si>
  <si>
    <t>TRX959324</t>
  </si>
  <si>
    <t>2024-02-18 19:41:19</t>
  </si>
  <si>
    <t>CIF93084</t>
  </si>
  <si>
    <t>Rp 969,113</t>
  </si>
  <si>
    <t>TRX740479</t>
  </si>
  <si>
    <t>2024-01-30 11:55:21</t>
  </si>
  <si>
    <t>CIF77490</t>
  </si>
  <si>
    <t>6723384.00</t>
  </si>
  <si>
    <t>TRX898867</t>
  </si>
  <si>
    <t>2024-05-06 21:48:38</t>
  </si>
  <si>
    <t>CIF25235</t>
  </si>
  <si>
    <t>Rp9144512</t>
  </si>
  <si>
    <t>TRX116093</t>
  </si>
  <si>
    <t>14/03/2024 13:55</t>
  </si>
  <si>
    <t>CIF80912</t>
  </si>
  <si>
    <t>187503</t>
  </si>
  <si>
    <t>TRX170277</t>
  </si>
  <si>
    <t>09-05-2024 14:07:27</t>
  </si>
  <si>
    <t>CIF99013</t>
  </si>
  <si>
    <t>3378715</t>
  </si>
  <si>
    <t>TRX233582</t>
  </si>
  <si>
    <t>2024-09-17 03:25:52</t>
  </si>
  <si>
    <t>CIF54658</t>
  </si>
  <si>
    <t>Rp3034350</t>
  </si>
  <si>
    <t>TRX667430</t>
  </si>
  <si>
    <t>15 Mar 2024</t>
  </si>
  <si>
    <t>CIF18965</t>
  </si>
  <si>
    <t>281413</t>
  </si>
  <si>
    <t>bca</t>
  </si>
  <si>
    <t>TRX389455</t>
  </si>
  <si>
    <t>02-10-2024 11:28:59</t>
  </si>
  <si>
    <t>CIF82964</t>
  </si>
  <si>
    <t>180155</t>
  </si>
  <si>
    <t>TRX491794</t>
  </si>
  <si>
    <t>CIF64120</t>
  </si>
  <si>
    <t>3673897,00</t>
  </si>
  <si>
    <t>TRX416282</t>
  </si>
  <si>
    <t>2024/08/22</t>
  </si>
  <si>
    <t>CIF69469</t>
  </si>
  <si>
    <t>267042</t>
  </si>
  <si>
    <t>TRX573589</t>
  </si>
  <si>
    <t>CIF87759</t>
  </si>
  <si>
    <t>69083,00</t>
  </si>
  <si>
    <t>TRX243628</t>
  </si>
  <si>
    <t>CIF31773</t>
  </si>
  <si>
    <t>3798792</t>
  </si>
  <si>
    <t>TRX941811</t>
  </si>
  <si>
    <t>10 Nov 2024</t>
  </si>
  <si>
    <t>CIF50873</t>
  </si>
  <si>
    <t>Rp16021839</t>
  </si>
  <si>
    <t>TRX403387</t>
  </si>
  <si>
    <t>2024-10-20 08:54:32</t>
  </si>
  <si>
    <t>CIF74154</t>
  </si>
  <si>
    <t>23610867</t>
  </si>
  <si>
    <t>TRX153063</t>
  </si>
  <si>
    <t>2024/05/28</t>
  </si>
  <si>
    <t>CIF13037</t>
  </si>
  <si>
    <t>43767920</t>
  </si>
  <si>
    <t>CIF87150</t>
  </si>
  <si>
    <t>TRX117500</t>
  </si>
  <si>
    <t>27/10/2024 02:00</t>
  </si>
  <si>
    <t>CIF46368</t>
  </si>
  <si>
    <t>Rp 47,182,665</t>
  </si>
  <si>
    <t>TRX128117</t>
  </si>
  <si>
    <t>17/04/2024 15:41</t>
  </si>
  <si>
    <t>4387495</t>
  </si>
  <si>
    <t>TRX704875</t>
  </si>
  <si>
    <t>21/10/2024 20:41</t>
  </si>
  <si>
    <t>CIF93962</t>
  </si>
  <si>
    <t>37715151</t>
  </si>
  <si>
    <t>TRX341292</t>
  </si>
  <si>
    <t>2024-10-28 07:00:04</t>
  </si>
  <si>
    <t>CIF34957</t>
  </si>
  <si>
    <t>4813054</t>
  </si>
  <si>
    <t>TRX423026</t>
  </si>
  <si>
    <t>07-06-2024 23:49:28</t>
  </si>
  <si>
    <t>CIF38426</t>
  </si>
  <si>
    <t>529636</t>
  </si>
  <si>
    <t>TRX269662</t>
  </si>
  <si>
    <t>26 Dec 2024</t>
  </si>
  <si>
    <t>CIF53634</t>
  </si>
  <si>
    <t>414663</t>
  </si>
  <si>
    <t>TRX935762</t>
  </si>
  <si>
    <t>2024/06/07</t>
  </si>
  <si>
    <t>CIF12609</t>
  </si>
  <si>
    <t>Rp93549</t>
  </si>
  <si>
    <t>TRX641422</t>
  </si>
  <si>
    <t>2024-01-08 21:25:26</t>
  </si>
  <si>
    <t>CIF50784</t>
  </si>
  <si>
    <t>87339</t>
  </si>
  <si>
    <t>TRX760717</t>
  </si>
  <si>
    <t>2024-12-28 09:35:41</t>
  </si>
  <si>
    <t>CIF12486</t>
  </si>
  <si>
    <t>Rp 43,268,452</t>
  </si>
  <si>
    <t>TRX299312</t>
  </si>
  <si>
    <t>2024-05-10 01:45:27</t>
  </si>
  <si>
    <t>CIF52753</t>
  </si>
  <si>
    <t>1086982,00</t>
  </si>
  <si>
    <t>TRX573685</t>
  </si>
  <si>
    <t>22 Jan 2024</t>
  </si>
  <si>
    <t>CIF15961</t>
  </si>
  <si>
    <t>23341049.00</t>
  </si>
  <si>
    <t>TRX394795</t>
  </si>
  <si>
    <t>2024/02/28</t>
  </si>
  <si>
    <t>CIF15028</t>
  </si>
  <si>
    <t>Rp377601</t>
  </si>
  <si>
    <t>TRX836984</t>
  </si>
  <si>
    <t>17-04-2024 23:48:14</t>
  </si>
  <si>
    <t>CIF69241</t>
  </si>
  <si>
    <t>Rp 366,634</t>
  </si>
  <si>
    <t>TRX439492</t>
  </si>
  <si>
    <t>21/03/2024 06:49</t>
  </si>
  <si>
    <t>CIF29003</t>
  </si>
  <si>
    <t>48855013,00</t>
  </si>
  <si>
    <t>TRX425569</t>
  </si>
  <si>
    <t>28/01/2024 12:45</t>
  </si>
  <si>
    <t>CIF85850</t>
  </si>
  <si>
    <t>2395493</t>
  </si>
  <si>
    <t>TRX893269</t>
  </si>
  <si>
    <t>27/07/2024 06:10</t>
  </si>
  <si>
    <t>CIF27046</t>
  </si>
  <si>
    <t>4285711</t>
  </si>
  <si>
    <t>TRX133287</t>
  </si>
  <si>
    <t>06-03-2024 15:50:05</t>
  </si>
  <si>
    <t>CIF31002</t>
  </si>
  <si>
    <t>Rp 4,243,724</t>
  </si>
  <si>
    <t>TRX718998</t>
  </si>
  <si>
    <t>01-08-2024 05:23:54</t>
  </si>
  <si>
    <t>CIF15302</t>
  </si>
  <si>
    <t>696665,00</t>
  </si>
  <si>
    <t>TRX263264</t>
  </si>
  <si>
    <t>21 Dec 2024</t>
  </si>
  <si>
    <t>CIF12125</t>
  </si>
  <si>
    <t>Rp 490,165</t>
  </si>
  <si>
    <t>TRX187669</t>
  </si>
  <si>
    <t>CIF54741</t>
  </si>
  <si>
    <t>49484906</t>
  </si>
  <si>
    <t>TRX258067</t>
  </si>
  <si>
    <t>25-06-2024 00:30:06</t>
  </si>
  <si>
    <t>CIF51800</t>
  </si>
  <si>
    <t>1688457</t>
  </si>
  <si>
    <t>TRX887331</t>
  </si>
  <si>
    <t>2024-06-10 14:43:29</t>
  </si>
  <si>
    <t>CIF59189</t>
  </si>
  <si>
    <t>3449655,00</t>
  </si>
  <si>
    <t>TRX195620</t>
  </si>
  <si>
    <t>28-02-2024 22:28:40</t>
  </si>
  <si>
    <t>CIF31249</t>
  </si>
  <si>
    <t>391091</t>
  </si>
  <si>
    <t>TRX818605</t>
  </si>
  <si>
    <t>13-07-2024 05:08:17</t>
  </si>
  <si>
    <t>CIF70012</t>
  </si>
  <si>
    <t>4146328.00</t>
  </si>
  <si>
    <t>TRX619071</t>
  </si>
  <si>
    <t>29-05-2024 22:24:03</t>
  </si>
  <si>
    <t>CIF54225</t>
  </si>
  <si>
    <t>Rp454632</t>
  </si>
  <si>
    <t>TRX875788</t>
  </si>
  <si>
    <t>2024/12/04</t>
  </si>
  <si>
    <t>CIF36748</t>
  </si>
  <si>
    <t>Rp 15,158,973</t>
  </si>
  <si>
    <t>TRX761084</t>
  </si>
  <si>
    <t>08 Jun 2024</t>
  </si>
  <si>
    <t>CIF42258</t>
  </si>
  <si>
    <t>Rp 30,055,409</t>
  </si>
  <si>
    <t>TRX185714</t>
  </si>
  <si>
    <t>2024-08-02 03:32:34</t>
  </si>
  <si>
    <t>CIF38714</t>
  </si>
  <si>
    <t>20219104</t>
  </si>
  <si>
    <t>TRX772550</t>
  </si>
  <si>
    <t>2024/12/26</t>
  </si>
  <si>
    <t>CIF47475</t>
  </si>
  <si>
    <t>7634131.00</t>
  </si>
  <si>
    <t>TRX292616</t>
  </si>
  <si>
    <t>2024/10/13</t>
  </si>
  <si>
    <t>CIF41395</t>
  </si>
  <si>
    <t>29929475</t>
  </si>
  <si>
    <t>TRX772580</t>
  </si>
  <si>
    <t>CIF72126</t>
  </si>
  <si>
    <t>4718102</t>
  </si>
  <si>
    <t>CIF69863</t>
  </si>
  <si>
    <t>CIF28582</t>
  </si>
  <si>
    <t>TRX712711</t>
  </si>
  <si>
    <t>15/07/2024 02:56</t>
  </si>
  <si>
    <t>CIF79934</t>
  </si>
  <si>
    <t>17947145</t>
  </si>
  <si>
    <t>bsi</t>
  </si>
  <si>
    <t>TRX899897</t>
  </si>
  <si>
    <t>19 Dec 2024</t>
  </si>
  <si>
    <t>CIF18350</t>
  </si>
  <si>
    <t>1667146</t>
  </si>
  <si>
    <t>TRX483041</t>
  </si>
  <si>
    <t>2024-10-27 20:57:53</t>
  </si>
  <si>
    <t>CIF77441</t>
  </si>
  <si>
    <t>Rp3904451</t>
  </si>
  <si>
    <t>TRX393586</t>
  </si>
  <si>
    <t>01/04/2024 08:36</t>
  </si>
  <si>
    <t>CIF28786</t>
  </si>
  <si>
    <t>46331489.00</t>
  </si>
  <si>
    <t>CIF75072</t>
  </si>
  <si>
    <t>TRX136010</t>
  </si>
  <si>
    <t>CIF80210</t>
  </si>
  <si>
    <t>Rp44824350</t>
  </si>
  <si>
    <t>TRX514708</t>
  </si>
  <si>
    <t>2024-08-07 13:50:47</t>
  </si>
  <si>
    <t>CIF61195</t>
  </si>
  <si>
    <t>401298</t>
  </si>
  <si>
    <t>TRX813612</t>
  </si>
  <si>
    <t>29 Dec 2024</t>
  </si>
  <si>
    <t>CIF24541</t>
  </si>
  <si>
    <t>3545057</t>
  </si>
  <si>
    <t>TRX912617</t>
  </si>
  <si>
    <t>2024-11-09 15:55:54</t>
  </si>
  <si>
    <t>CIF89963</t>
  </si>
  <si>
    <t>4512866</t>
  </si>
  <si>
    <t>TRX701568</t>
  </si>
  <si>
    <t>2024/01/03</t>
  </si>
  <si>
    <t>CIF27394</t>
  </si>
  <si>
    <t>37163220</t>
  </si>
  <si>
    <t>TRX399817</t>
  </si>
  <si>
    <t>2024-08-04 00:33:06</t>
  </si>
  <si>
    <t>CIF57013</t>
  </si>
  <si>
    <t>2739576,00</t>
  </si>
  <si>
    <t>TRX893270</t>
  </si>
  <si>
    <t>2024-06-07 06:35:12</t>
  </si>
  <si>
    <t>CIF75564</t>
  </si>
  <si>
    <t>876434</t>
  </si>
  <si>
    <t>TRX378527</t>
  </si>
  <si>
    <t>2024-11-26 02:22:57</t>
  </si>
  <si>
    <t>CIF42771</t>
  </si>
  <si>
    <t>296603.00</t>
  </si>
  <si>
    <t>TRX561607</t>
  </si>
  <si>
    <t>20 Jun 2024</t>
  </si>
  <si>
    <t>CIF59290</t>
  </si>
  <si>
    <t>2184864</t>
  </si>
  <si>
    <t>TRX872279</t>
  </si>
  <si>
    <t>CIF10503</t>
  </si>
  <si>
    <t>Rp 422,159</t>
  </si>
  <si>
    <t>TRX534661</t>
  </si>
  <si>
    <t>2024/10/11</t>
  </si>
  <si>
    <t>CIF80827</t>
  </si>
  <si>
    <t>22548449</t>
  </si>
  <si>
    <t>TRX524434</t>
  </si>
  <si>
    <t>06/02/2024 02:10</t>
  </si>
  <si>
    <t>CIF64262</t>
  </si>
  <si>
    <t>45626697</t>
  </si>
  <si>
    <t>TRX249149</t>
  </si>
  <si>
    <t>25 Aug 2024</t>
  </si>
  <si>
    <t>CIF52477</t>
  </si>
  <si>
    <t>1635034.00</t>
  </si>
  <si>
    <t>TRX273558</t>
  </si>
  <si>
    <t>CIF49768</t>
  </si>
  <si>
    <t>15737623</t>
  </si>
  <si>
    <t>TRX151288</t>
  </si>
  <si>
    <t>CIF42846</t>
  </si>
  <si>
    <t>Rp26938436</t>
  </si>
  <si>
    <t>TRX395120</t>
  </si>
  <si>
    <t>CIF99270</t>
  </si>
  <si>
    <t>Rp 10,365,461</t>
  </si>
  <si>
    <t>TRX852110</t>
  </si>
  <si>
    <t>2024-07-25 09:56:39</t>
  </si>
  <si>
    <t>CIF65315</t>
  </si>
  <si>
    <t>27053701,00</t>
  </si>
  <si>
    <t>TRX482614</t>
  </si>
  <si>
    <t>CIF39260</t>
  </si>
  <si>
    <t>15569906</t>
  </si>
  <si>
    <t>TRX380061</t>
  </si>
  <si>
    <t>CIF63903</t>
  </si>
  <si>
    <t>2135155</t>
  </si>
  <si>
    <t>TRX236186</t>
  </si>
  <si>
    <t>12-05-2024 05:42:18</t>
  </si>
  <si>
    <t>CIF10436</t>
  </si>
  <si>
    <t>Rp 392,290</t>
  </si>
  <si>
    <t>TRX152201</t>
  </si>
  <si>
    <t>24-07-2024 19:27:38</t>
  </si>
  <si>
    <t>CIF34975</t>
  </si>
  <si>
    <t>5947235</t>
  </si>
  <si>
    <t>TRX283847</t>
  </si>
  <si>
    <t>2024/11/21</t>
  </si>
  <si>
    <t>CIF50481</t>
  </si>
  <si>
    <t>30660510</t>
  </si>
  <si>
    <t>TRX641922</t>
  </si>
  <si>
    <t>2024-10-19 21:39:09</t>
  </si>
  <si>
    <t>CIF87994</t>
  </si>
  <si>
    <t>97642.00</t>
  </si>
  <si>
    <t>TRX105543</t>
  </si>
  <si>
    <t>14 Dec 2024</t>
  </si>
  <si>
    <t>CIF85803</t>
  </si>
  <si>
    <t>2495748,00</t>
  </si>
  <si>
    <t>TRX440014</t>
  </si>
  <si>
    <t>2024/05/17</t>
  </si>
  <si>
    <t>CIF94877</t>
  </si>
  <si>
    <t>Rp203273</t>
  </si>
  <si>
    <t>TRX837093</t>
  </si>
  <si>
    <t>2024-09-07 07:45:54</t>
  </si>
  <si>
    <t>CIF63346</t>
  </si>
  <si>
    <t>Rp36707272</t>
  </si>
  <si>
    <t>TRX811341</t>
  </si>
  <si>
    <t>CIF28753</t>
  </si>
  <si>
    <t>12595553</t>
  </si>
  <si>
    <t>TRX440404</t>
  </si>
  <si>
    <t>30-01-2024 20:52:00</t>
  </si>
  <si>
    <t>CIF95698</t>
  </si>
  <si>
    <t>Rp 41,063,544</t>
  </si>
  <si>
    <t>TRX684536</t>
  </si>
  <si>
    <t>22-08-2024 12:20:41</t>
  </si>
  <si>
    <t>CIF51309</t>
  </si>
  <si>
    <t>5249761</t>
  </si>
  <si>
    <t>TRX811521</t>
  </si>
  <si>
    <t>28-11-2024 13:33:26</t>
  </si>
  <si>
    <t>CIF40475</t>
  </si>
  <si>
    <t>Rp 4,544,344</t>
  </si>
  <si>
    <t>TRX681409</t>
  </si>
  <si>
    <t>21-01-2024 12:42:12</t>
  </si>
  <si>
    <t>CIF75494</t>
  </si>
  <si>
    <t>1211878.00</t>
  </si>
  <si>
    <t>TRX747518</t>
  </si>
  <si>
    <t>22-04-2024 14:22:05</t>
  </si>
  <si>
    <t>Rp 4,916,047</t>
  </si>
  <si>
    <t>TRX939398</t>
  </si>
  <si>
    <t>09 Jun 2024</t>
  </si>
  <si>
    <t>CIF42550</t>
  </si>
  <si>
    <t>Rp304910</t>
  </si>
  <si>
    <t>TRX857607</t>
  </si>
  <si>
    <t>24-08-2024 10:50:05</t>
  </si>
  <si>
    <t>35197105,00</t>
  </si>
  <si>
    <t>TRX669868</t>
  </si>
  <si>
    <t>03/10/2024 15:41</t>
  </si>
  <si>
    <t>CIF77388</t>
  </si>
  <si>
    <t>2941077</t>
  </si>
  <si>
    <t>TRX848365</t>
  </si>
  <si>
    <t>23 Sep 2024</t>
  </si>
  <si>
    <t>CIF12625</t>
  </si>
  <si>
    <t>49326520</t>
  </si>
  <si>
    <t>TRX213284</t>
  </si>
  <si>
    <t>03/03/2024 08:31</t>
  </si>
  <si>
    <t>CIF20029</t>
  </si>
  <si>
    <t>943358</t>
  </si>
  <si>
    <t>TRX141880</t>
  </si>
  <si>
    <t>19 Mar 2024</t>
  </si>
  <si>
    <t>CIF81182</t>
  </si>
  <si>
    <t>Rp 9,890,947</t>
  </si>
  <si>
    <t>TRX868043</t>
  </si>
  <si>
    <t>2024/10/06</t>
  </si>
  <si>
    <t>CIF65026</t>
  </si>
  <si>
    <t>343416,00</t>
  </si>
  <si>
    <t>TRX405407</t>
  </si>
  <si>
    <t>17-01-2024 07:18:45</t>
  </si>
  <si>
    <t>CIF44816</t>
  </si>
  <si>
    <t>Rp 22,753,960</t>
  </si>
  <si>
    <t>TRX151462</t>
  </si>
  <si>
    <t>21 May 2024</t>
  </si>
  <si>
    <t>CIF96231</t>
  </si>
  <si>
    <t>42068704</t>
  </si>
  <si>
    <t>TRX804393</t>
  </si>
  <si>
    <t>2024-10-17 11:56:21</t>
  </si>
  <si>
    <t>CIF20888</t>
  </si>
  <si>
    <t>80749.00</t>
  </si>
  <si>
    <t>TRX464699</t>
  </si>
  <si>
    <t>14-01-2024 19:48:57</t>
  </si>
  <si>
    <t>CIF98862</t>
  </si>
  <si>
    <t>27880390</t>
  </si>
  <si>
    <t>TRX157450</t>
  </si>
  <si>
    <t>2024-06-03 19:40:27</t>
  </si>
  <si>
    <t>CIF91292</t>
  </si>
  <si>
    <t>2973941</t>
  </si>
  <si>
    <t>TRX501156</t>
  </si>
  <si>
    <t>11-07-2024 09:23:01</t>
  </si>
  <si>
    <t>CIF39762</t>
  </si>
  <si>
    <t>35194991,00</t>
  </si>
  <si>
    <t>TRX886083</t>
  </si>
  <si>
    <t>25 Jun 2024</t>
  </si>
  <si>
    <t>CIF59688</t>
  </si>
  <si>
    <t>245222</t>
  </si>
  <si>
    <t>TRX157433</t>
  </si>
  <si>
    <t>CIF97837</t>
  </si>
  <si>
    <t>7048184.00</t>
  </si>
  <si>
    <t>TRX767083</t>
  </si>
  <si>
    <t>20-10-2024 11:52:09</t>
  </si>
  <si>
    <t>CIF32365</t>
  </si>
  <si>
    <t>13366</t>
  </si>
  <si>
    <t>TRX913373</t>
  </si>
  <si>
    <t>2024/09/24</t>
  </si>
  <si>
    <t>CIF32782</t>
  </si>
  <si>
    <t>45911637,00</t>
  </si>
  <si>
    <t>TRX516869</t>
  </si>
  <si>
    <t>16-03-2024 22:54:27</t>
  </si>
  <si>
    <t>CIF47831</t>
  </si>
  <si>
    <t>3447379</t>
  </si>
  <si>
    <t>TRX219346</t>
  </si>
  <si>
    <t>CIF25726</t>
  </si>
  <si>
    <t>Rp125615</t>
  </si>
  <si>
    <t>TRX993766</t>
  </si>
  <si>
    <t>23-08-2024 10:09:52</t>
  </si>
  <si>
    <t>CIF45841</t>
  </si>
  <si>
    <t>14789216</t>
  </si>
  <si>
    <t>TRX891662</t>
  </si>
  <si>
    <t>21/11/2024 00:48</t>
  </si>
  <si>
    <t>CIF21703</t>
  </si>
  <si>
    <t>332737,00</t>
  </si>
  <si>
    <t>TRX940615</t>
  </si>
  <si>
    <t>11 May 2024</t>
  </si>
  <si>
    <t>CIF49201</t>
  </si>
  <si>
    <t>471764</t>
  </si>
  <si>
    <t>TRX911187</t>
  </si>
  <si>
    <t>2024-03-30 20:31:28</t>
  </si>
  <si>
    <t>CIF30636</t>
  </si>
  <si>
    <t>7255485</t>
  </si>
  <si>
    <t>TRX435812</t>
  </si>
  <si>
    <t>CIF64256</t>
  </si>
  <si>
    <t>234108</t>
  </si>
  <si>
    <t>TRX770487</t>
  </si>
  <si>
    <t>27/02/2024 00:47</t>
  </si>
  <si>
    <t>CIF38893</t>
  </si>
  <si>
    <t>1229295</t>
  </si>
  <si>
    <t>TRX637145</t>
  </si>
  <si>
    <t>2024-07-10 00:36:27</t>
  </si>
  <si>
    <t>CIF85225</t>
  </si>
  <si>
    <t>Rp 2,871,010</t>
  </si>
  <si>
    <t>TRX963829</t>
  </si>
  <si>
    <t>2024/03/24</t>
  </si>
  <si>
    <t>CIF24461</t>
  </si>
  <si>
    <t>12922748</t>
  </si>
  <si>
    <t>TRX583287</t>
  </si>
  <si>
    <t>25-03-2024 21:17:54</t>
  </si>
  <si>
    <t>CIF20830</t>
  </si>
  <si>
    <t>-49619484</t>
  </si>
  <si>
    <t>TRX338536</t>
  </si>
  <si>
    <t>2024-02-16 13:06:48</t>
  </si>
  <si>
    <t>CIF32946</t>
  </si>
  <si>
    <t>3221051</t>
  </si>
  <si>
    <t>TRX213094</t>
  </si>
  <si>
    <t>03 Aug 2024</t>
  </si>
  <si>
    <t>CIF21848</t>
  </si>
  <si>
    <t>Rp25171767</t>
  </si>
  <si>
    <t>TRX632046</t>
  </si>
  <si>
    <t>2024-07-07 18:37:45</t>
  </si>
  <si>
    <t>CIF96084</t>
  </si>
  <si>
    <t>632315</t>
  </si>
  <si>
    <t>TRX475508</t>
  </si>
  <si>
    <t>2024/09/02</t>
  </si>
  <si>
    <t>CIF30012</t>
  </si>
  <si>
    <t>7865513</t>
  </si>
  <si>
    <t>TRX434347</t>
  </si>
  <si>
    <t>2024-11-20 02:12:30</t>
  </si>
  <si>
    <t>CIF87193</t>
  </si>
  <si>
    <t>Rp 2,303,499</t>
  </si>
  <si>
    <t>TRX598312</t>
  </si>
  <si>
    <t>06 Nov 2024</t>
  </si>
  <si>
    <t>CIF46356</t>
  </si>
  <si>
    <t>10993826</t>
  </si>
  <si>
    <t>TRX144770</t>
  </si>
  <si>
    <t>24 Aug 2024</t>
  </si>
  <si>
    <t>CIF94840</t>
  </si>
  <si>
    <t>25457</t>
  </si>
  <si>
    <t>TRX415743</t>
  </si>
  <si>
    <t>CIF78569</t>
  </si>
  <si>
    <t>39331873</t>
  </si>
  <si>
    <t>TRX463108</t>
  </si>
  <si>
    <t>2024/12/17</t>
  </si>
  <si>
    <t>CIF65703</t>
  </si>
  <si>
    <t>43566270</t>
  </si>
  <si>
    <t>TRX201690</t>
  </si>
  <si>
    <t>21 Jul 2024</t>
  </si>
  <si>
    <t>CIF97062</t>
  </si>
  <si>
    <t>3864809,00</t>
  </si>
  <si>
    <t>TRX769760</t>
  </si>
  <si>
    <t>25 Feb 2024</t>
  </si>
  <si>
    <t>CIF90264</t>
  </si>
  <si>
    <t>2725575,00</t>
  </si>
  <si>
    <t>TRX298543</t>
  </si>
  <si>
    <t>2024-12-24 03:44:48</t>
  </si>
  <si>
    <t>CIF41558</t>
  </si>
  <si>
    <t>2410216,00</t>
  </si>
  <si>
    <t>TRX537873</t>
  </si>
  <si>
    <t>18-03-2024 13:35:36</t>
  </si>
  <si>
    <t>CIF20481</t>
  </si>
  <si>
    <t>Rp1870626</t>
  </si>
  <si>
    <t>TRX244037</t>
  </si>
  <si>
    <t>2024/04/12</t>
  </si>
  <si>
    <t>CIF85534</t>
  </si>
  <si>
    <t>1177895</t>
  </si>
  <si>
    <t>TRX954886</t>
  </si>
  <si>
    <t>20-07-2024 22:47:02</t>
  </si>
  <si>
    <t>CIF92643</t>
  </si>
  <si>
    <t>4885273</t>
  </si>
  <si>
    <t>TRX883381</t>
  </si>
  <si>
    <t>10/08/2024 00:22</t>
  </si>
  <si>
    <t>CIF65193</t>
  </si>
  <si>
    <t>33256574</t>
  </si>
  <si>
    <t>TRX589518</t>
  </si>
  <si>
    <t>CIF15259</t>
  </si>
  <si>
    <t>4148780</t>
  </si>
  <si>
    <t>TRX561809</t>
  </si>
  <si>
    <t>2024-03-09 19:51:40</t>
  </si>
  <si>
    <t>CIF26493</t>
  </si>
  <si>
    <t>49048531</t>
  </si>
  <si>
    <t>TRX352371</t>
  </si>
  <si>
    <t>28 Apr 2024</t>
  </si>
  <si>
    <t>CIF31023</t>
  </si>
  <si>
    <t>42158865</t>
  </si>
  <si>
    <t>TRX100884</t>
  </si>
  <si>
    <t>03/12/2024 04:12</t>
  </si>
  <si>
    <t>CIF23095</t>
  </si>
  <si>
    <t>133828</t>
  </si>
  <si>
    <t>TRX752126</t>
  </si>
  <si>
    <t>16-01-2024 05:23:02</t>
  </si>
  <si>
    <t>CIF96122</t>
  </si>
  <si>
    <t>26012172</t>
  </si>
  <si>
    <t>TRX186082</t>
  </si>
  <si>
    <t>12 Feb 2024</t>
  </si>
  <si>
    <t>CIF31655</t>
  </si>
  <si>
    <t>36926</t>
  </si>
  <si>
    <t>TRX762652</t>
  </si>
  <si>
    <t>20/09/2024 18:15</t>
  </si>
  <si>
    <t>CIF61177</t>
  </si>
  <si>
    <t>2517999</t>
  </si>
  <si>
    <t>TRX317192</t>
  </si>
  <si>
    <t>21-04-2024 10:22:25</t>
  </si>
  <si>
    <t>CIF84928</t>
  </si>
  <si>
    <t>6629133</t>
  </si>
  <si>
    <t>TRX443897</t>
  </si>
  <si>
    <t>CIF64596</t>
  </si>
  <si>
    <t>39206334</t>
  </si>
  <si>
    <t>TRX180418</t>
  </si>
  <si>
    <t>2024-05-02 02:10:36</t>
  </si>
  <si>
    <t>CIF63145</t>
  </si>
  <si>
    <t>4634329</t>
  </si>
  <si>
    <t>TRX821469</t>
  </si>
  <si>
    <t>26/04/2024 09:08</t>
  </si>
  <si>
    <t>CIF18683</t>
  </si>
  <si>
    <t>657759</t>
  </si>
  <si>
    <t>CIF34464</t>
  </si>
  <si>
    <t>TRX183105</t>
  </si>
  <si>
    <t>25-09-2024 08:28:09</t>
  </si>
  <si>
    <t>CIF47780</t>
  </si>
  <si>
    <t>Rp 2,060,449</t>
  </si>
  <si>
    <t>TRX452737</t>
  </si>
  <si>
    <t>15/01/2024 15:54</t>
  </si>
  <si>
    <t>CIF74038</t>
  </si>
  <si>
    <t>45007285.00</t>
  </si>
  <si>
    <t>TRX525146</t>
  </si>
  <si>
    <t>2024-10-27 06:33:00</t>
  </si>
  <si>
    <t>CIF63363</t>
  </si>
  <si>
    <t>3420034</t>
  </si>
  <si>
    <t>TRX195446</t>
  </si>
  <si>
    <t>24/10/2024 03:50</t>
  </si>
  <si>
    <t>CIF26571</t>
  </si>
  <si>
    <t>Rp1449295</t>
  </si>
  <si>
    <t>TRX895302</t>
  </si>
  <si>
    <t>2024-05-29 07:33:06</t>
  </si>
  <si>
    <t>CIF65003</t>
  </si>
  <si>
    <t>4648433,00</t>
  </si>
  <si>
    <t>TRX794180</t>
  </si>
  <si>
    <t>2024-05-08 23:44:47</t>
  </si>
  <si>
    <t>CIF21050</t>
  </si>
  <si>
    <t>Rp 36,754,961</t>
  </si>
  <si>
    <t>TRX200022</t>
  </si>
  <si>
    <t>2024/10/14</t>
  </si>
  <si>
    <t>CIF29741</t>
  </si>
  <si>
    <t>40125159</t>
  </si>
  <si>
    <t>TRX464211</t>
  </si>
  <si>
    <t>2024-07-06 14:40:45</t>
  </si>
  <si>
    <t>CIF34928</t>
  </si>
  <si>
    <t>229678,00</t>
  </si>
  <si>
    <t>TRX364760</t>
  </si>
  <si>
    <t>08/09/2024 14:43</t>
  </si>
  <si>
    <t>CIF57128</t>
  </si>
  <si>
    <t>436685.00</t>
  </si>
  <si>
    <t>TRX978116</t>
  </si>
  <si>
    <t>31-10-2024 05:01:09</t>
  </si>
  <si>
    <t>CIF68192</t>
  </si>
  <si>
    <t>16541,00</t>
  </si>
  <si>
    <t>TRX425611</t>
  </si>
  <si>
    <t>16-09-2024 22:41:35</t>
  </si>
  <si>
    <t>CIF79838</t>
  </si>
  <si>
    <t>334256</t>
  </si>
  <si>
    <t>TRX201987</t>
  </si>
  <si>
    <t>CIF72303</t>
  </si>
  <si>
    <t>2664703</t>
  </si>
  <si>
    <t>TRX731264</t>
  </si>
  <si>
    <t>01-03-2024 21:14:26</t>
  </si>
  <si>
    <t>CIF92515</t>
  </si>
  <si>
    <t>Rp261145</t>
  </si>
  <si>
    <t>TRX897257</t>
  </si>
  <si>
    <t>2024/03/20</t>
  </si>
  <si>
    <t>CIF19429</t>
  </si>
  <si>
    <t>42101278,00</t>
  </si>
  <si>
    <t>TRX756401</t>
  </si>
  <si>
    <t>2024-12-13 13:35:31</t>
  </si>
  <si>
    <t>CIF70689</t>
  </si>
  <si>
    <t>177108.00</t>
  </si>
  <si>
    <t>TRX582576</t>
  </si>
  <si>
    <t>2024-01-28 02:03:17</t>
  </si>
  <si>
    <t>CIF83668</t>
  </si>
  <si>
    <t>306455</t>
  </si>
  <si>
    <t>TRX975295</t>
  </si>
  <si>
    <t>2024-12-17 13:09:44</t>
  </si>
  <si>
    <t>CIF37759</t>
  </si>
  <si>
    <t>563944</t>
  </si>
  <si>
    <t>TRX355570</t>
  </si>
  <si>
    <t>21/08/2024 17:09</t>
  </si>
  <si>
    <t>CIF55236</t>
  </si>
  <si>
    <t>27808641</t>
  </si>
  <si>
    <t>TRX700417</t>
  </si>
  <si>
    <t>2024/10/17</t>
  </si>
  <si>
    <t>CIF90681</t>
  </si>
  <si>
    <t>23837466,00</t>
  </si>
  <si>
    <t>CIF80657</t>
  </si>
  <si>
    <t>TRX743217</t>
  </si>
  <si>
    <t>2024/10/18</t>
  </si>
  <si>
    <t>CIF29054</t>
  </si>
  <si>
    <t>2796702.00</t>
  </si>
  <si>
    <t>TRX912610</t>
  </si>
  <si>
    <t>2024/06/09</t>
  </si>
  <si>
    <t>CIF40816</t>
  </si>
  <si>
    <t>3606973</t>
  </si>
  <si>
    <t>TRX620719</t>
  </si>
  <si>
    <t>2024/09/16</t>
  </si>
  <si>
    <t>CIF59444</t>
  </si>
  <si>
    <t>498241</t>
  </si>
  <si>
    <t>TRX503350</t>
  </si>
  <si>
    <t>2024-12-03 05:44:36</t>
  </si>
  <si>
    <t>CIF58330</t>
  </si>
  <si>
    <t>23372814.00</t>
  </si>
  <si>
    <t>TRX542995</t>
  </si>
  <si>
    <t>17-10-2024 16:57:26</t>
  </si>
  <si>
    <t>CIF75107</t>
  </si>
  <si>
    <t>Rp 30,349,540</t>
  </si>
  <si>
    <t>TRX695361</t>
  </si>
  <si>
    <t>2024/12/11</t>
  </si>
  <si>
    <t>CIF53204</t>
  </si>
  <si>
    <t>220152</t>
  </si>
  <si>
    <t>TRX297133</t>
  </si>
  <si>
    <t>2024/12/06</t>
  </si>
  <si>
    <t>CIF24472</t>
  </si>
  <si>
    <t>525647</t>
  </si>
  <si>
    <t>TRX311383</t>
  </si>
  <si>
    <t>23-01-2024 06:56:02</t>
  </si>
  <si>
    <t>CIF67272</t>
  </si>
  <si>
    <t>7457578</t>
  </si>
  <si>
    <t>TRX797312</t>
  </si>
  <si>
    <t>CIF14823</t>
  </si>
  <si>
    <t>163958.00</t>
  </si>
  <si>
    <t>TRX732819</t>
  </si>
  <si>
    <t>CIF17683</t>
  </si>
  <si>
    <t>71017.00</t>
  </si>
  <si>
    <t>TRX805983</t>
  </si>
  <si>
    <t>30/05/2024 04:47</t>
  </si>
  <si>
    <t>CIF72517</t>
  </si>
  <si>
    <t>144902</t>
  </si>
  <si>
    <t>TRX724187</t>
  </si>
  <si>
    <t>25-02-2024 15:27:24</t>
  </si>
  <si>
    <t>CIF36855</t>
  </si>
  <si>
    <t>Rp 199,443</t>
  </si>
  <si>
    <t>TRX995940</t>
  </si>
  <si>
    <t>01-10-2024 09:50:09</t>
  </si>
  <si>
    <t>CIF31945</t>
  </si>
  <si>
    <t>39109387</t>
  </si>
  <si>
    <t>TRX487470</t>
  </si>
  <si>
    <t>22-05-2024 12:17:29</t>
  </si>
  <si>
    <t>CIF54880</t>
  </si>
  <si>
    <t>Rp36535252</t>
  </si>
  <si>
    <t>TRX556943</t>
  </si>
  <si>
    <t>25/03/2024 10:47</t>
  </si>
  <si>
    <t>CIF67870</t>
  </si>
  <si>
    <t>109048</t>
  </si>
  <si>
    <t>TRX191982</t>
  </si>
  <si>
    <t>23/05/2024 12:08</t>
  </si>
  <si>
    <t>CIF51795</t>
  </si>
  <si>
    <t>30669011</t>
  </si>
  <si>
    <t>TRX899679</t>
  </si>
  <si>
    <t>28-09-2024 02:37:29</t>
  </si>
  <si>
    <t>CIF60407</t>
  </si>
  <si>
    <t>Rp2812030</t>
  </si>
  <si>
    <t>TRX962671</t>
  </si>
  <si>
    <t>30/04/2024 09:13</t>
  </si>
  <si>
    <t>CIF23159</t>
  </si>
  <si>
    <t>423829</t>
  </si>
  <si>
    <t>TRX767331</t>
  </si>
  <si>
    <t>CIF82359</t>
  </si>
  <si>
    <t>Rp 3,929,055</t>
  </si>
  <si>
    <t>TRX601365</t>
  </si>
  <si>
    <t>2024-08-11 12:54:46</t>
  </si>
  <si>
    <t>CIF57887</t>
  </si>
  <si>
    <t>13133839,00</t>
  </si>
  <si>
    <t>CIF93763</t>
  </si>
  <si>
    <t>TRX834665</t>
  </si>
  <si>
    <t>2024-08-30 12:48:34</t>
  </si>
  <si>
    <t>CIF69596</t>
  </si>
  <si>
    <t>Rp 3,687,396</t>
  </si>
  <si>
    <t>TRX294069</t>
  </si>
  <si>
    <t>14-09-2024 22:39:30</t>
  </si>
  <si>
    <t>CIF44581</t>
  </si>
  <si>
    <t>175209</t>
  </si>
  <si>
    <t>TRX864472</t>
  </si>
  <si>
    <t>21-08-2024 08:22:52</t>
  </si>
  <si>
    <t>CIF62601</t>
  </si>
  <si>
    <t>Rp900968</t>
  </si>
  <si>
    <t>TRX924729</t>
  </si>
  <si>
    <t>CIF94381</t>
  </si>
  <si>
    <t>894152</t>
  </si>
  <si>
    <t>Penanganan Missing Values</t>
  </si>
  <si>
    <t>Kolom</t>
  </si>
  <si>
    <t>Jumlah</t>
  </si>
  <si>
    <t>Tindakan</t>
  </si>
  <si>
    <t>Hapus</t>
  </si>
  <si>
    <t>Tandai dengan "Unknown"</t>
  </si>
  <si>
    <t>Biarkan</t>
  </si>
  <si>
    <t>Isi dengan 0</t>
  </si>
  <si>
    <t>Tandai sebagai -1 (missing flag)</t>
  </si>
  <si>
    <t>Status_Bersih</t>
  </si>
  <si>
    <t>Hapus Duplikat</t>
  </si>
  <si>
    <t>Tidak ditemukan</t>
  </si>
  <si>
    <t>Standarisasi Kolom Status</t>
  </si>
  <si>
    <t>Sebelum</t>
  </si>
  <si>
    <t>Sesudah</t>
  </si>
  <si>
    <t>Channel_Bersih</t>
  </si>
  <si>
    <t>Standarisasi Kolom Channel</t>
  </si>
  <si>
    <t>Nominal_Bersih</t>
  </si>
  <si>
    <t>Standarisasi Kolom Nominal</t>
  </si>
  <si>
    <t>Rp</t>
  </si>
  <si>
    <t xml:space="preserve">Rp </t>
  </si>
  <si>
    <t>,00</t>
  </si>
  <si>
    <t>.</t>
  </si>
  <si>
    <t>blank</t>
  </si>
  <si>
    <t>Ubah kolom ke tipe number</t>
  </si>
  <si>
    <t>Validasi Nominal</t>
  </si>
  <si>
    <t>Tanggal_Bersih</t>
  </si>
  <si>
    <t>Bulan</t>
  </si>
  <si>
    <t>Kuartal</t>
  </si>
  <si>
    <t>Response_Flag</t>
  </si>
  <si>
    <t>Standarisasi Kolom Tanggal</t>
  </si>
  <si>
    <t>Ubah menjadi format YYYY-MM-DD, kemudian dilakukan penurunan untuk pembuatan kolom baru seperti bulan dan kuartal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</si>
</sst>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  <xf numFmtId="3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left"/>
    </xf>
    <xf numFmtId="168" fontId="0" fillId="0" borderId="0" xfId="0" applyNumberFormat="1"/>
    <xf numFmtId="0" fontId="5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5" fillId="3" borderId="0" xfId="0" applyFont="1" applyFill="1"/>
    <xf numFmtId="0" fontId="0" fillId="4" borderId="0" xfId="0" applyFont="1" applyFill="1" applyAlignment="1">
      <alignment horizontal="center" vertical="center" wrapText="1"/>
    </xf>
    <xf numFmtId="0" fontId="1" fillId="4" borderId="0" xfId="0" applyFont="1" applyFill="1"/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1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8" formatCode="yyyy\-mm\-dd"/>
    </dxf>
    <dxf>
      <numFmt numFmtId="0" formatCode="General"/>
    </dxf>
    <dxf>
      <numFmt numFmtId="1" formatCode="0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3F29BE-3979-47FB-BB26-B350329FFB30}" autoFormatId="16" applyNumberFormats="0" applyBorderFormats="0" applyFontFormats="0" applyPatternFormats="0" applyAlignmentFormats="0" applyWidthHeightFormats="0">
  <queryTableRefresh nextId="14">
    <queryTableFields count="13">
      <queryTableField id="1" name="ID_Transaksi" tableColumnId="1"/>
      <queryTableField id="2" name="Tanggal_Waktu" tableColumnId="2"/>
      <queryTableField id="3" name="ID_Nasabah" tableColumnId="3"/>
      <queryTableField id="4" name="Channel" tableColumnId="4"/>
      <queryTableField id="5" name="Jenis_Transaksi" tableColumnId="5"/>
      <queryTableField id="6" name="Nominal" tableColumnId="6"/>
      <queryTableField id="7" name="Status" tableColumnId="7"/>
      <queryTableField id="8" name="Wilayah" tableColumnId="8"/>
      <queryTableField id="9" name="Bank_Tujuan" tableColumnId="9"/>
      <queryTableField id="10" name="OS_Device" tableColumnId="10"/>
      <queryTableField id="11" name="Biaya_Admin" tableColumnId="11"/>
      <queryTableField id="12" name="Response_Time_ms" tableColumnId="12"/>
      <queryTableField id="13" name="Jam_Tidak_Wajar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FF50B6D-2D3F-4257-A08B-D066A4E0F2D1}" autoFormatId="16" applyNumberFormats="0" applyBorderFormats="0" applyFontFormats="0" applyPatternFormats="0" applyAlignmentFormats="0" applyWidthHeightFormats="0">
  <queryTableRefresh nextId="27" unboundColumnsRight="8">
    <queryTableFields count="21">
      <queryTableField id="1" name="ID_Transaksi" tableColumnId="1"/>
      <queryTableField id="2" name="Tanggal_Waktu" tableColumnId="2"/>
      <queryTableField id="3" name="ID_Nasabah" tableColumnId="3"/>
      <queryTableField id="4" name="Channel" tableColumnId="4"/>
      <queryTableField id="5" name="Jenis_Transaksi" tableColumnId="5"/>
      <queryTableField id="6" name="Nominal" tableColumnId="6"/>
      <queryTableField id="7" name="Status" tableColumnId="7"/>
      <queryTableField id="8" name="Wilayah" tableColumnId="8"/>
      <queryTableField id="9" name="Bank_Tujuan" tableColumnId="9"/>
      <queryTableField id="10" name="OS_Device" tableColumnId="10"/>
      <queryTableField id="11" name="Biaya_Admin" tableColumnId="11"/>
      <queryTableField id="12" name="Response_Time_ms" tableColumnId="12"/>
      <queryTableField id="13" name="Jam_Tidak_Wajar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23" dataBound="0" tableColumnId="23"/>
      <queryTableField id="24" dataBound="0" tableColumnId="24"/>
      <queryTableField id="25" dataBound="0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B5234-4C8B-4AC8-A083-58B7B5F255A0}" name="digital_banking_transactions" displayName="digital_banking_transactions" ref="A1:M731" tableType="queryTable" totalsRowShown="0">
  <autoFilter ref="A1:M731" xr:uid="{1FDB5234-4C8B-4AC8-A083-58B7B5F255A0}"/>
  <tableColumns count="13">
    <tableColumn id="1" xr3:uid="{18AEFA58-CE91-41C6-B151-0DFF1E02D8B6}" uniqueName="1" name="ID_Transaksi" queryTableFieldId="1" dataDxfId="30"/>
    <tableColumn id="2" xr3:uid="{149439A8-D0E4-4350-B706-863F40B55E6F}" uniqueName="2" name="Tanggal_Waktu" queryTableFieldId="2" dataDxfId="29"/>
    <tableColumn id="3" xr3:uid="{5A72E880-EC59-46BB-960B-E39A0A491432}" uniqueName="3" name="ID_Nasabah" queryTableFieldId="3" dataDxfId="28"/>
    <tableColumn id="4" xr3:uid="{A1425C13-2646-4E66-A480-E744C7B308B2}" uniqueName="4" name="Channel" queryTableFieldId="4" dataDxfId="27"/>
    <tableColumn id="5" xr3:uid="{AE773495-CE1F-417C-A92C-EAB5BC4FD7FC}" uniqueName="5" name="Jenis_Transaksi" queryTableFieldId="5" dataDxfId="26"/>
    <tableColumn id="6" xr3:uid="{5FCA683A-9678-4592-9D44-2CACC56265C6}" uniqueName="6" name="Nominal" queryTableFieldId="6" dataDxfId="25"/>
    <tableColumn id="7" xr3:uid="{04CFD21E-888D-4D2E-B0C1-D5707565FDD6}" uniqueName="7" name="Status" queryTableFieldId="7" dataDxfId="24"/>
    <tableColumn id="8" xr3:uid="{3E1A3AF4-4860-44C2-A1B8-C3DD8D86A804}" uniqueName="8" name="Wilayah" queryTableFieldId="8" dataDxfId="23"/>
    <tableColumn id="9" xr3:uid="{F96F6A0D-90F3-4F9B-B960-0841DA2D8AB8}" uniqueName="9" name="Bank_Tujuan" queryTableFieldId="9" dataDxfId="22"/>
    <tableColumn id="10" xr3:uid="{6698BFDC-4B40-4D77-A54D-B168D1EFEC0E}" uniqueName="10" name="OS_Device" queryTableFieldId="10" dataDxfId="21"/>
    <tableColumn id="11" xr3:uid="{CBA40EBB-64DC-4FCD-8718-DF03230C6F30}" uniqueName="11" name="Biaya_Admin" queryTableFieldId="11"/>
    <tableColumn id="12" xr3:uid="{88A108A6-18C1-4D87-951E-E69301F74502}" uniqueName="12" name="Response_Time_ms" queryTableFieldId="12"/>
    <tableColumn id="13" xr3:uid="{8E4BCBD9-90B9-4825-B1E8-4BEF987F4CBC}" uniqueName="13" name="Jam_Tidak_Wajar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489A98-CDDA-4325-9BDD-499371CCB844}" name="digital_banking_transactions3" displayName="digital_banking_transactions3" ref="A1:U699" tableType="queryTable" totalsRowShown="0">
  <autoFilter ref="A1:U699" xr:uid="{1FDB5234-4C8B-4AC8-A083-58B7B5F255A0}"/>
  <tableColumns count="21">
    <tableColumn id="1" xr3:uid="{7ABECAAE-7420-4DFC-86B0-03FE5A1AB698}" uniqueName="1" name="ID_Transaksi" queryTableFieldId="1" dataDxfId="20"/>
    <tableColumn id="2" xr3:uid="{9856DBB9-8D12-462C-BDE3-881A2374CBEE}" uniqueName="2" name="Tanggal_Waktu" queryTableFieldId="2" dataDxfId="19"/>
    <tableColumn id="3" xr3:uid="{30CF01D1-896F-4DD9-85E2-17C2964422F2}" uniqueName="3" name="ID_Nasabah" queryTableFieldId="3" dataDxfId="18"/>
    <tableColumn id="4" xr3:uid="{61CFF6CF-A1D7-4B89-93F8-569708F277AF}" uniqueName="4" name="Channel" queryTableFieldId="4" dataDxfId="17"/>
    <tableColumn id="5" xr3:uid="{479D70D8-E3DD-4F6B-889F-F979499D2D65}" uniqueName="5" name="Jenis_Transaksi" queryTableFieldId="5" dataDxfId="16"/>
    <tableColumn id="6" xr3:uid="{ACD020B3-2C08-4DCC-82B3-63D642E95FEC}" uniqueName="6" name="Nominal" queryTableFieldId="6" dataDxfId="15"/>
    <tableColumn id="7" xr3:uid="{6E84F5EA-9DDB-4F34-AEAB-5D996CA1CD2E}" uniqueName="7" name="Status" queryTableFieldId="7" dataDxfId="14"/>
    <tableColumn id="8" xr3:uid="{3F7E23FD-5926-4B22-B764-A55277A34945}" uniqueName="8" name="Wilayah" queryTableFieldId="8" dataDxfId="13"/>
    <tableColumn id="9" xr3:uid="{E6D1D656-F615-41A5-8EA4-A66D64FBC49B}" uniqueName="9" name="Bank_Tujuan" queryTableFieldId="9" dataDxfId="12"/>
    <tableColumn id="10" xr3:uid="{71CF7811-6055-441F-9065-32B17561D6F3}" uniqueName="10" name="OS_Device" queryTableFieldId="10" dataDxfId="11"/>
    <tableColumn id="11" xr3:uid="{4F84C070-2CAD-4F46-AA30-6AD4824B630F}" uniqueName="11" name="Biaya_Admin" queryTableFieldId="11"/>
    <tableColumn id="12" xr3:uid="{2E113DF9-27ED-44F6-A5E6-79F49E750C1F}" uniqueName="12" name="Response_Time_ms" queryTableFieldId="12"/>
    <tableColumn id="13" xr3:uid="{9CB0BB4F-A940-4BAE-AB46-DBF381B98DCE}" uniqueName="13" name="Jam_Tidak_Wajar" queryTableFieldId="13"/>
    <tableColumn id="14" xr3:uid="{B12AACB8-A2F0-43C7-AD83-979368C332CF}" uniqueName="14" name="Status_Bersih" queryTableFieldId="14" dataDxfId="10">
      <calculatedColumnFormula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calculatedColumnFormula>
    </tableColumn>
    <tableColumn id="15" xr3:uid="{B7F979C4-DB94-4C20-A9FD-763752FCDB4D}" uniqueName="15" name="Channel_Bersih" queryTableFieldId="15" dataDxfId="9">
      <calculatedColumnFormula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calculatedColumnFormula>
    </tableColumn>
    <tableColumn id="16" xr3:uid="{CBDF4C24-DEBB-4AC2-A7F9-9C073BD96E02}" uniqueName="16" name="Nominal_Bersih" queryTableFieldId="16" dataDxfId="8"/>
    <tableColumn id="17" xr3:uid="{8EDD8EC3-9F5E-4ADF-8232-3141F84E080A}" uniqueName="17" name="Validasi Nominal" queryTableFieldId="17" dataDxfId="7">
      <calculatedColumnFormula>IF(OR(digital_banking_transactions3[[#This Row],[Nominal_Bersih]]&lt;0,digital_banking_transactions3[[#This Row],[Nominal_Bersih]]=0),"Invalid","Valid")</calculatedColumnFormula>
    </tableColumn>
    <tableColumn id="23" xr3:uid="{5585C97E-D49B-4859-B0AD-E8A152DDE895}" uniqueName="23" name="Tanggal_Bersih" queryTableFieldId="23" dataDxfId="6">
      <calculatedColumnFormula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calculatedColumnFormula>
    </tableColumn>
    <tableColumn id="24" xr3:uid="{54E2FCCD-EFE4-4E33-BB51-CC898E5EB9F1}" uniqueName="24" name="Bulan" queryTableFieldId="24" dataDxfId="5">
      <calculatedColumnFormula>TEXT(digital_banking_transactions3[[#This Row],[Tanggal_Bersih]],"MMMM YYYY")</calculatedColumnFormula>
    </tableColumn>
    <tableColumn id="25" xr3:uid="{8F3A55D5-8FC9-4443-BD8B-D2173792AE6E}" uniqueName="25" name="Kuartal" queryTableFieldId="25" dataDxfId="4">
      <calculatedColumnFormula>IF(MONTH(digital_banking_transactions3[[#This Row],[Tanggal_Bersih]])&lt;=3,"Q1",IF(MONTH(digital_banking_transactions3[[#This Row],[Tanggal_Bersih]])&lt;=6,"Q2",IF(MONTH(digital_banking_transactions3[[#This Row],[Tanggal_Bersih]])&lt;=9,"Q3","Q4")))</calculatedColumnFormula>
    </tableColumn>
    <tableColumn id="26" xr3:uid="{53C0C33C-943A-4793-92BC-F630182DBC84}" uniqueName="26" name="Response_Flag" queryTableFieldId="26" dataDxfId="3">
      <calculatedColumnFormula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5589-C5BB-4E2D-9D91-163F465517C4}">
  <dimension ref="A1:M731"/>
  <sheetViews>
    <sheetView workbookViewId="0">
      <selection activeCell="F24" sqref="F24"/>
    </sheetView>
  </sheetViews>
  <sheetFormatPr defaultRowHeight="14.5" x14ac:dyDescent="0.35"/>
  <cols>
    <col min="1" max="1" width="13.81640625" bestFit="1" customWidth="1"/>
    <col min="2" max="2" width="17.81640625" bestFit="1" customWidth="1"/>
    <col min="3" max="3" width="13.1796875" bestFit="1" customWidth="1"/>
    <col min="4" max="4" width="17.26953125" bestFit="1" customWidth="1"/>
    <col min="5" max="5" width="16.08984375" bestFit="1" customWidth="1"/>
    <col min="6" max="6" width="12.36328125" bestFit="1" customWidth="1"/>
    <col min="7" max="7" width="9.6328125" bestFit="1" customWidth="1"/>
    <col min="8" max="8" width="9.81640625" bestFit="1" customWidth="1"/>
    <col min="9" max="9" width="14.08984375" bestFit="1" customWidth="1"/>
    <col min="10" max="10" width="11.81640625" bestFit="1" customWidth="1"/>
    <col min="11" max="11" width="14" bestFit="1" customWidth="1"/>
    <col min="12" max="12" width="19.81640625" bestFit="1" customWidth="1"/>
    <col min="13" max="13" width="18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>
        <v>2500</v>
      </c>
      <c r="L2">
        <v>1122</v>
      </c>
      <c r="M2">
        <v>0</v>
      </c>
    </row>
    <row r="3" spans="1:13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17</v>
      </c>
      <c r="F3" s="1" t="s">
        <v>26</v>
      </c>
      <c r="G3" s="1" t="s">
        <v>27</v>
      </c>
      <c r="H3" s="1" t="s">
        <v>20</v>
      </c>
      <c r="I3" s="1" t="s">
        <v>21</v>
      </c>
      <c r="J3" s="1" t="s">
        <v>21</v>
      </c>
      <c r="K3">
        <v>2500</v>
      </c>
      <c r="L3">
        <v>670</v>
      </c>
      <c r="M3">
        <v>0</v>
      </c>
    </row>
    <row r="4" spans="1:13" x14ac:dyDescent="0.3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21</v>
      </c>
      <c r="J4" s="1" t="s">
        <v>21</v>
      </c>
      <c r="K4">
        <v>0</v>
      </c>
      <c r="L4">
        <v>848</v>
      </c>
      <c r="M4">
        <v>1</v>
      </c>
    </row>
    <row r="5" spans="1:13" x14ac:dyDescent="0.35">
      <c r="A5" s="1" t="s">
        <v>36</v>
      </c>
      <c r="B5" s="1" t="s">
        <v>37</v>
      </c>
      <c r="C5" s="1" t="s">
        <v>38</v>
      </c>
      <c r="D5" s="1" t="s">
        <v>25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21</v>
      </c>
      <c r="J5" s="1" t="s">
        <v>21</v>
      </c>
      <c r="K5">
        <v>7500</v>
      </c>
      <c r="L5">
        <v>1578</v>
      </c>
      <c r="M5">
        <v>0</v>
      </c>
    </row>
    <row r="6" spans="1:13" x14ac:dyDescent="0.35">
      <c r="A6" s="1" t="s">
        <v>43</v>
      </c>
      <c r="B6" s="1" t="s">
        <v>44</v>
      </c>
      <c r="C6" s="1" t="s">
        <v>45</v>
      </c>
      <c r="D6" s="1" t="s">
        <v>46</v>
      </c>
      <c r="E6" s="1" t="s">
        <v>39</v>
      </c>
      <c r="F6" s="1" t="s">
        <v>47</v>
      </c>
      <c r="G6" s="1" t="s">
        <v>48</v>
      </c>
      <c r="H6" s="1" t="s">
        <v>35</v>
      </c>
      <c r="I6" s="1" t="s">
        <v>21</v>
      </c>
      <c r="J6" s="1" t="s">
        <v>21</v>
      </c>
      <c r="K6">
        <v>7500</v>
      </c>
      <c r="L6">
        <v>3890</v>
      </c>
      <c r="M6">
        <v>0</v>
      </c>
    </row>
    <row r="7" spans="1:13" x14ac:dyDescent="0.35">
      <c r="A7" s="1" t="s">
        <v>49</v>
      </c>
      <c r="B7" s="1" t="s">
        <v>50</v>
      </c>
      <c r="C7" s="1" t="s">
        <v>51</v>
      </c>
      <c r="D7" s="1" t="s">
        <v>25</v>
      </c>
      <c r="E7" s="1" t="s">
        <v>52</v>
      </c>
      <c r="F7" s="1" t="s">
        <v>53</v>
      </c>
      <c r="G7" s="1" t="s">
        <v>48</v>
      </c>
      <c r="H7" s="1" t="s">
        <v>54</v>
      </c>
      <c r="I7" s="1" t="s">
        <v>21</v>
      </c>
      <c r="J7" s="1" t="s">
        <v>21</v>
      </c>
      <c r="K7">
        <v>6500</v>
      </c>
      <c r="M7">
        <v>0</v>
      </c>
    </row>
    <row r="8" spans="1:13" x14ac:dyDescent="0.35">
      <c r="A8" s="1" t="s">
        <v>55</v>
      </c>
      <c r="B8" s="1" t="s">
        <v>56</v>
      </c>
      <c r="C8" s="1" t="s">
        <v>57</v>
      </c>
      <c r="D8" s="1" t="s">
        <v>58</v>
      </c>
      <c r="E8" s="1" t="s">
        <v>39</v>
      </c>
      <c r="F8" s="1" t="s">
        <v>59</v>
      </c>
      <c r="G8" s="1" t="s">
        <v>41</v>
      </c>
      <c r="H8" s="1" t="s">
        <v>60</v>
      </c>
      <c r="I8" s="1" t="s">
        <v>21</v>
      </c>
      <c r="J8" s="1" t="s">
        <v>21</v>
      </c>
      <c r="K8">
        <v>7500</v>
      </c>
      <c r="L8">
        <v>3162</v>
      </c>
      <c r="M8">
        <v>0</v>
      </c>
    </row>
    <row r="9" spans="1:13" x14ac:dyDescent="0.35">
      <c r="A9" s="1" t="s">
        <v>61</v>
      </c>
      <c r="B9" s="1" t="s">
        <v>62</v>
      </c>
      <c r="C9" s="1" t="s">
        <v>63</v>
      </c>
      <c r="D9" s="1" t="s">
        <v>16</v>
      </c>
      <c r="E9" s="1" t="s">
        <v>52</v>
      </c>
      <c r="F9" s="1" t="s">
        <v>64</v>
      </c>
      <c r="G9" s="1" t="s">
        <v>65</v>
      </c>
      <c r="H9" s="1" t="s">
        <v>60</v>
      </c>
      <c r="I9" s="1" t="s">
        <v>66</v>
      </c>
      <c r="J9" s="1" t="s">
        <v>21</v>
      </c>
      <c r="K9">
        <v>6500</v>
      </c>
      <c r="L9">
        <v>81563</v>
      </c>
      <c r="M9">
        <v>0</v>
      </c>
    </row>
    <row r="10" spans="1:13" x14ac:dyDescent="0.35">
      <c r="A10" s="1" t="s">
        <v>67</v>
      </c>
      <c r="B10" s="1" t="s">
        <v>68</v>
      </c>
      <c r="C10" s="1" t="s">
        <v>69</v>
      </c>
      <c r="D10" s="1" t="s">
        <v>25</v>
      </c>
      <c r="E10" s="1" t="s">
        <v>17</v>
      </c>
      <c r="F10" s="1" t="s">
        <v>70</v>
      </c>
      <c r="G10" s="1" t="s">
        <v>65</v>
      </c>
      <c r="H10" s="1" t="s">
        <v>35</v>
      </c>
      <c r="I10" s="1" t="s">
        <v>21</v>
      </c>
      <c r="J10" s="1" t="s">
        <v>71</v>
      </c>
      <c r="K10">
        <v>2500</v>
      </c>
      <c r="L10">
        <v>2204</v>
      </c>
      <c r="M10">
        <v>0</v>
      </c>
    </row>
    <row r="11" spans="1:13" x14ac:dyDescent="0.35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52</v>
      </c>
      <c r="F11" s="1" t="s">
        <v>76</v>
      </c>
      <c r="G11" s="1" t="s">
        <v>41</v>
      </c>
      <c r="H11" s="1" t="s">
        <v>77</v>
      </c>
      <c r="I11" s="1" t="s">
        <v>78</v>
      </c>
      <c r="J11" s="1" t="s">
        <v>79</v>
      </c>
      <c r="K11">
        <v>6500</v>
      </c>
      <c r="L11">
        <v>4678</v>
      </c>
      <c r="M11">
        <v>0</v>
      </c>
    </row>
    <row r="12" spans="1:13" x14ac:dyDescent="0.35">
      <c r="A12" s="1" t="s">
        <v>80</v>
      </c>
      <c r="B12" s="1" t="s">
        <v>81</v>
      </c>
      <c r="C12" s="1" t="s">
        <v>82</v>
      </c>
      <c r="D12" s="1" t="s">
        <v>58</v>
      </c>
      <c r="E12" s="1" t="s">
        <v>52</v>
      </c>
      <c r="F12" s="1" t="s">
        <v>83</v>
      </c>
      <c r="G12" s="1" t="s">
        <v>41</v>
      </c>
      <c r="H12" s="1" t="s">
        <v>20</v>
      </c>
      <c r="I12" s="1" t="s">
        <v>84</v>
      </c>
      <c r="J12" s="1" t="s">
        <v>21</v>
      </c>
      <c r="K12">
        <v>6500</v>
      </c>
      <c r="L12">
        <v>276</v>
      </c>
      <c r="M12">
        <v>1</v>
      </c>
    </row>
    <row r="13" spans="1:13" x14ac:dyDescent="0.35">
      <c r="A13" s="1" t="s">
        <v>85</v>
      </c>
      <c r="B13" s="1" t="s">
        <v>86</v>
      </c>
      <c r="C13" s="1" t="s">
        <v>87</v>
      </c>
      <c r="D13" s="1" t="s">
        <v>25</v>
      </c>
      <c r="E13" s="1" t="s">
        <v>39</v>
      </c>
      <c r="F13" s="1" t="s">
        <v>88</v>
      </c>
      <c r="G13" s="1" t="s">
        <v>89</v>
      </c>
      <c r="H13" s="1" t="s">
        <v>42</v>
      </c>
      <c r="I13" s="1" t="s">
        <v>21</v>
      </c>
      <c r="J13" s="1" t="s">
        <v>71</v>
      </c>
      <c r="K13">
        <v>7500</v>
      </c>
      <c r="L13">
        <v>740</v>
      </c>
      <c r="M13">
        <v>0</v>
      </c>
    </row>
    <row r="14" spans="1:13" x14ac:dyDescent="0.35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 s="1" t="s">
        <v>65</v>
      </c>
      <c r="H14" s="1" t="s">
        <v>96</v>
      </c>
      <c r="I14" s="1" t="s">
        <v>21</v>
      </c>
      <c r="J14" s="1" t="s">
        <v>79</v>
      </c>
      <c r="K14">
        <v>1500</v>
      </c>
      <c r="L14">
        <v>4885</v>
      </c>
      <c r="M14">
        <v>0</v>
      </c>
    </row>
    <row r="15" spans="1:13" x14ac:dyDescent="0.35">
      <c r="A15" s="1" t="s">
        <v>97</v>
      </c>
      <c r="B15" s="1" t="s">
        <v>98</v>
      </c>
      <c r="C15" s="1" t="s">
        <v>99</v>
      </c>
      <c r="D15" s="1" t="s">
        <v>58</v>
      </c>
      <c r="E15" s="1" t="s">
        <v>17</v>
      </c>
      <c r="F15" s="1" t="s">
        <v>100</v>
      </c>
      <c r="G15" s="1" t="s">
        <v>41</v>
      </c>
      <c r="H15" s="1" t="s">
        <v>42</v>
      </c>
      <c r="I15" s="1" t="s">
        <v>21</v>
      </c>
      <c r="J15" s="1" t="s">
        <v>21</v>
      </c>
      <c r="K15">
        <v>2500</v>
      </c>
      <c r="L15">
        <v>2590</v>
      </c>
      <c r="M15">
        <v>0</v>
      </c>
    </row>
    <row r="16" spans="1:13" x14ac:dyDescent="0.35">
      <c r="A16" s="1" t="s">
        <v>101</v>
      </c>
      <c r="B16" s="1" t="s">
        <v>102</v>
      </c>
      <c r="C16" s="1" t="s">
        <v>103</v>
      </c>
      <c r="D16" s="1" t="s">
        <v>75</v>
      </c>
      <c r="E16" s="1" t="s">
        <v>94</v>
      </c>
      <c r="F16" s="1" t="s">
        <v>104</v>
      </c>
      <c r="G16" s="1" t="s">
        <v>105</v>
      </c>
      <c r="H16" s="1" t="s">
        <v>106</v>
      </c>
      <c r="I16" s="1" t="s">
        <v>21</v>
      </c>
      <c r="J16" s="1" t="s">
        <v>71</v>
      </c>
      <c r="K16">
        <v>1500</v>
      </c>
      <c r="L16">
        <v>4682</v>
      </c>
      <c r="M16">
        <v>1</v>
      </c>
    </row>
    <row r="17" spans="1:13" x14ac:dyDescent="0.35">
      <c r="A17" s="1" t="s">
        <v>107</v>
      </c>
      <c r="B17" s="1" t="s">
        <v>108</v>
      </c>
      <c r="C17" s="1" t="s">
        <v>109</v>
      </c>
      <c r="D17" s="1" t="s">
        <v>110</v>
      </c>
      <c r="E17" s="1" t="s">
        <v>52</v>
      </c>
      <c r="F17" s="1" t="s">
        <v>111</v>
      </c>
      <c r="G17" s="1" t="s">
        <v>105</v>
      </c>
      <c r="H17" s="1" t="s">
        <v>77</v>
      </c>
      <c r="I17" s="1" t="s">
        <v>112</v>
      </c>
      <c r="J17" s="1" t="s">
        <v>21</v>
      </c>
      <c r="K17">
        <v>6500</v>
      </c>
      <c r="L17">
        <v>504</v>
      </c>
      <c r="M17">
        <v>0</v>
      </c>
    </row>
    <row r="18" spans="1:13" x14ac:dyDescent="0.35">
      <c r="A18" s="1" t="s">
        <v>113</v>
      </c>
      <c r="B18" s="1" t="s">
        <v>114</v>
      </c>
      <c r="C18" s="1" t="s">
        <v>115</v>
      </c>
      <c r="D18" s="1" t="s">
        <v>58</v>
      </c>
      <c r="E18" s="1" t="s">
        <v>94</v>
      </c>
      <c r="F18" s="1" t="s">
        <v>116</v>
      </c>
      <c r="G18" s="1" t="s">
        <v>65</v>
      </c>
      <c r="H18" s="1" t="s">
        <v>60</v>
      </c>
      <c r="I18" s="1" t="s">
        <v>21</v>
      </c>
      <c r="J18" s="1" t="s">
        <v>21</v>
      </c>
      <c r="K18">
        <v>1500</v>
      </c>
      <c r="L18">
        <v>3808</v>
      </c>
      <c r="M18">
        <v>0</v>
      </c>
    </row>
    <row r="19" spans="1:13" x14ac:dyDescent="0.35">
      <c r="A19" s="1" t="s">
        <v>117</v>
      </c>
      <c r="B19" s="1" t="s">
        <v>118</v>
      </c>
      <c r="C19" s="1" t="s">
        <v>119</v>
      </c>
      <c r="D19" s="1" t="s">
        <v>25</v>
      </c>
      <c r="E19" s="1" t="s">
        <v>52</v>
      </c>
      <c r="F19" s="1" t="s">
        <v>120</v>
      </c>
      <c r="G19" s="1" t="s">
        <v>27</v>
      </c>
      <c r="H19" s="1" t="s">
        <v>60</v>
      </c>
      <c r="I19" s="1" t="s">
        <v>66</v>
      </c>
      <c r="J19" s="1" t="s">
        <v>121</v>
      </c>
      <c r="K19">
        <v>6500</v>
      </c>
      <c r="L19">
        <v>4118</v>
      </c>
      <c r="M19">
        <v>0</v>
      </c>
    </row>
    <row r="20" spans="1:13" x14ac:dyDescent="0.35">
      <c r="A20" s="1" t="s">
        <v>122</v>
      </c>
      <c r="B20" s="1" t="s">
        <v>123</v>
      </c>
      <c r="C20" s="1" t="s">
        <v>124</v>
      </c>
      <c r="D20" s="1" t="s">
        <v>93</v>
      </c>
      <c r="E20" s="1" t="s">
        <v>52</v>
      </c>
      <c r="F20" s="1" t="s">
        <v>125</v>
      </c>
      <c r="G20" s="1" t="s">
        <v>126</v>
      </c>
      <c r="H20" s="1" t="s">
        <v>96</v>
      </c>
      <c r="I20" s="1" t="s">
        <v>66</v>
      </c>
      <c r="J20" s="1" t="s">
        <v>79</v>
      </c>
      <c r="K20">
        <v>6500</v>
      </c>
      <c r="L20">
        <v>2580</v>
      </c>
      <c r="M20">
        <v>0</v>
      </c>
    </row>
    <row r="21" spans="1:13" x14ac:dyDescent="0.35">
      <c r="A21" s="1" t="s">
        <v>127</v>
      </c>
      <c r="B21" s="1" t="s">
        <v>128</v>
      </c>
      <c r="C21" s="1" t="s">
        <v>129</v>
      </c>
      <c r="D21" s="1" t="s">
        <v>25</v>
      </c>
      <c r="E21" s="1" t="s">
        <v>52</v>
      </c>
      <c r="F21" s="1" t="s">
        <v>130</v>
      </c>
      <c r="G21" s="1" t="s">
        <v>65</v>
      </c>
      <c r="H21" s="1" t="s">
        <v>42</v>
      </c>
      <c r="I21" s="1" t="s">
        <v>131</v>
      </c>
      <c r="J21" s="1" t="s">
        <v>71</v>
      </c>
      <c r="K21">
        <v>6500</v>
      </c>
      <c r="L21">
        <v>2755</v>
      </c>
      <c r="M21">
        <v>0</v>
      </c>
    </row>
    <row r="22" spans="1:13" x14ac:dyDescent="0.35">
      <c r="A22" s="1" t="s">
        <v>132</v>
      </c>
      <c r="B22" s="1" t="s">
        <v>133</v>
      </c>
      <c r="C22" s="1" t="s">
        <v>134</v>
      </c>
      <c r="D22" s="1" t="s">
        <v>135</v>
      </c>
      <c r="E22" s="1" t="s">
        <v>52</v>
      </c>
      <c r="F22" s="1" t="s">
        <v>136</v>
      </c>
      <c r="G22" s="1" t="s">
        <v>137</v>
      </c>
      <c r="H22" s="1" t="s">
        <v>60</v>
      </c>
      <c r="I22" s="1" t="s">
        <v>138</v>
      </c>
      <c r="J22" s="1" t="s">
        <v>79</v>
      </c>
      <c r="L22">
        <v>686</v>
      </c>
      <c r="M22">
        <v>0</v>
      </c>
    </row>
    <row r="23" spans="1:13" x14ac:dyDescent="0.35">
      <c r="A23" s="1" t="s">
        <v>139</v>
      </c>
      <c r="B23" s="1" t="s">
        <v>140</v>
      </c>
      <c r="C23" s="1" t="s">
        <v>141</v>
      </c>
      <c r="D23" s="1" t="s">
        <v>25</v>
      </c>
      <c r="E23" s="1" t="s">
        <v>17</v>
      </c>
      <c r="F23" s="1" t="s">
        <v>142</v>
      </c>
      <c r="G23" s="1" t="s">
        <v>89</v>
      </c>
      <c r="H23" s="1" t="s">
        <v>106</v>
      </c>
      <c r="I23" s="1" t="s">
        <v>21</v>
      </c>
      <c r="J23" s="1" t="s">
        <v>71</v>
      </c>
      <c r="K23">
        <v>2500</v>
      </c>
      <c r="L23">
        <v>4483</v>
      </c>
      <c r="M23">
        <v>0</v>
      </c>
    </row>
    <row r="24" spans="1:13" x14ac:dyDescent="0.35">
      <c r="A24" s="1" t="s">
        <v>143</v>
      </c>
      <c r="B24" s="1" t="s">
        <v>144</v>
      </c>
      <c r="C24" s="1" t="s">
        <v>145</v>
      </c>
      <c r="D24" s="1" t="s">
        <v>58</v>
      </c>
      <c r="E24" s="1" t="s">
        <v>94</v>
      </c>
      <c r="F24" s="1" t="s">
        <v>146</v>
      </c>
      <c r="G24" s="1" t="s">
        <v>41</v>
      </c>
      <c r="H24" s="1" t="s">
        <v>42</v>
      </c>
      <c r="I24" s="1" t="s">
        <v>21</v>
      </c>
      <c r="J24" s="1" t="s">
        <v>21</v>
      </c>
      <c r="K24">
        <v>1500</v>
      </c>
      <c r="L24">
        <v>1874</v>
      </c>
      <c r="M24">
        <v>0</v>
      </c>
    </row>
    <row r="25" spans="1:13" x14ac:dyDescent="0.35">
      <c r="A25" s="1" t="s">
        <v>147</v>
      </c>
      <c r="B25" s="1" t="s">
        <v>148</v>
      </c>
      <c r="C25" s="1" t="s">
        <v>149</v>
      </c>
      <c r="D25" s="1" t="s">
        <v>150</v>
      </c>
      <c r="E25" s="1" t="s">
        <v>52</v>
      </c>
      <c r="F25" s="1" t="s">
        <v>151</v>
      </c>
      <c r="G25" s="1" t="s">
        <v>41</v>
      </c>
      <c r="H25" s="1" t="s">
        <v>60</v>
      </c>
      <c r="I25" s="1" t="s">
        <v>112</v>
      </c>
      <c r="J25" s="1" t="s">
        <v>121</v>
      </c>
      <c r="K25">
        <v>6500</v>
      </c>
      <c r="L25">
        <v>59309</v>
      </c>
      <c r="M25">
        <v>0</v>
      </c>
    </row>
    <row r="26" spans="1:13" x14ac:dyDescent="0.35">
      <c r="A26" s="1" t="s">
        <v>152</v>
      </c>
      <c r="B26" s="1" t="s">
        <v>153</v>
      </c>
      <c r="C26" s="1" t="s">
        <v>154</v>
      </c>
      <c r="D26" s="1" t="s">
        <v>58</v>
      </c>
      <c r="E26" s="1" t="s">
        <v>39</v>
      </c>
      <c r="F26" s="1" t="s">
        <v>155</v>
      </c>
      <c r="G26" s="1" t="s">
        <v>65</v>
      </c>
      <c r="H26" s="1" t="s">
        <v>35</v>
      </c>
      <c r="I26" s="1" t="s">
        <v>21</v>
      </c>
      <c r="J26" s="1" t="s">
        <v>21</v>
      </c>
      <c r="K26">
        <v>7500</v>
      </c>
      <c r="M26">
        <v>1</v>
      </c>
    </row>
    <row r="27" spans="1:13" x14ac:dyDescent="0.35">
      <c r="A27" s="1" t="s">
        <v>156</v>
      </c>
      <c r="B27" s="1" t="s">
        <v>157</v>
      </c>
      <c r="C27" s="1" t="s">
        <v>158</v>
      </c>
      <c r="D27" s="1" t="s">
        <v>16</v>
      </c>
      <c r="E27" s="1" t="s">
        <v>52</v>
      </c>
      <c r="F27" s="1" t="s">
        <v>159</v>
      </c>
      <c r="G27" s="1" t="s">
        <v>41</v>
      </c>
      <c r="H27" s="1" t="s">
        <v>42</v>
      </c>
      <c r="I27" s="1" t="s">
        <v>112</v>
      </c>
      <c r="J27" s="1" t="s">
        <v>21</v>
      </c>
      <c r="L27">
        <v>2013</v>
      </c>
      <c r="M27">
        <v>1</v>
      </c>
    </row>
    <row r="28" spans="1:13" x14ac:dyDescent="0.35">
      <c r="A28" s="1" t="s">
        <v>160</v>
      </c>
      <c r="B28" s="1" t="s">
        <v>161</v>
      </c>
      <c r="C28" s="1" t="s">
        <v>162</v>
      </c>
      <c r="D28" s="1" t="s">
        <v>25</v>
      </c>
      <c r="E28" s="1" t="s">
        <v>52</v>
      </c>
      <c r="F28" s="1" t="s">
        <v>163</v>
      </c>
      <c r="G28" s="1" t="s">
        <v>41</v>
      </c>
      <c r="H28" s="1" t="s">
        <v>35</v>
      </c>
      <c r="I28" s="1" t="s">
        <v>112</v>
      </c>
      <c r="J28" s="1" t="s">
        <v>79</v>
      </c>
      <c r="K28">
        <v>6500</v>
      </c>
      <c r="L28">
        <v>4788</v>
      </c>
      <c r="M28">
        <v>0</v>
      </c>
    </row>
    <row r="29" spans="1:13" x14ac:dyDescent="0.35">
      <c r="A29" s="1" t="s">
        <v>164</v>
      </c>
      <c r="B29" s="1" t="s">
        <v>165</v>
      </c>
      <c r="C29" s="1" t="s">
        <v>166</v>
      </c>
      <c r="D29" s="1" t="s">
        <v>167</v>
      </c>
      <c r="E29" s="1" t="s">
        <v>39</v>
      </c>
      <c r="F29" s="1" t="s">
        <v>168</v>
      </c>
      <c r="G29" s="1" t="s">
        <v>27</v>
      </c>
      <c r="H29" s="1" t="s">
        <v>77</v>
      </c>
      <c r="I29" s="1" t="s">
        <v>21</v>
      </c>
      <c r="J29" s="1" t="s">
        <v>21</v>
      </c>
      <c r="K29">
        <v>7500</v>
      </c>
      <c r="L29">
        <v>3490</v>
      </c>
      <c r="M29">
        <v>0</v>
      </c>
    </row>
    <row r="30" spans="1:13" x14ac:dyDescent="0.35">
      <c r="A30" s="1" t="s">
        <v>169</v>
      </c>
      <c r="B30" s="1" t="s">
        <v>170</v>
      </c>
      <c r="C30" s="1" t="s">
        <v>171</v>
      </c>
      <c r="D30" s="1" t="s">
        <v>25</v>
      </c>
      <c r="E30" s="1" t="s">
        <v>39</v>
      </c>
      <c r="F30" s="1" t="s">
        <v>172</v>
      </c>
      <c r="G30" s="1" t="s">
        <v>137</v>
      </c>
      <c r="H30" s="1" t="s">
        <v>20</v>
      </c>
      <c r="I30" s="1" t="s">
        <v>21</v>
      </c>
      <c r="J30" s="1" t="s">
        <v>79</v>
      </c>
      <c r="K30">
        <v>7500</v>
      </c>
      <c r="L30">
        <v>3820</v>
      </c>
      <c r="M30">
        <v>0</v>
      </c>
    </row>
    <row r="31" spans="1:13" x14ac:dyDescent="0.35">
      <c r="A31" s="1" t="s">
        <v>21</v>
      </c>
      <c r="B31" s="1" t="s">
        <v>21</v>
      </c>
      <c r="C31" s="1" t="s">
        <v>173</v>
      </c>
      <c r="D31" s="1" t="s">
        <v>16</v>
      </c>
      <c r="E31" s="1" t="s">
        <v>94</v>
      </c>
      <c r="F31" s="1" t="s">
        <v>21</v>
      </c>
      <c r="G31" s="1" t="s">
        <v>21</v>
      </c>
      <c r="H31" s="1" t="s">
        <v>77</v>
      </c>
      <c r="I31" s="1" t="s">
        <v>21</v>
      </c>
      <c r="J31" s="1" t="s">
        <v>21</v>
      </c>
      <c r="M31">
        <v>0</v>
      </c>
    </row>
    <row r="32" spans="1:13" x14ac:dyDescent="0.35">
      <c r="A32" s="1" t="s">
        <v>21</v>
      </c>
      <c r="B32" s="1" t="s">
        <v>21</v>
      </c>
      <c r="C32" s="1" t="s">
        <v>174</v>
      </c>
      <c r="D32" s="1" t="s">
        <v>58</v>
      </c>
      <c r="E32" s="1" t="s">
        <v>32</v>
      </c>
      <c r="F32" s="1" t="s">
        <v>21</v>
      </c>
      <c r="G32" s="1" t="s">
        <v>21</v>
      </c>
      <c r="H32" s="1" t="s">
        <v>60</v>
      </c>
      <c r="I32" s="1" t="s">
        <v>21</v>
      </c>
      <c r="J32" s="1" t="s">
        <v>21</v>
      </c>
      <c r="M32">
        <v>0</v>
      </c>
    </row>
    <row r="33" spans="1:13" x14ac:dyDescent="0.35">
      <c r="A33" s="1" t="s">
        <v>175</v>
      </c>
      <c r="B33" s="1" t="s">
        <v>176</v>
      </c>
      <c r="C33" s="1" t="s">
        <v>177</v>
      </c>
      <c r="D33" s="1" t="s">
        <v>25</v>
      </c>
      <c r="E33" s="1" t="s">
        <v>17</v>
      </c>
      <c r="F33" s="1" t="s">
        <v>178</v>
      </c>
      <c r="G33" s="1" t="s">
        <v>65</v>
      </c>
      <c r="H33" s="1" t="s">
        <v>20</v>
      </c>
      <c r="I33" s="1" t="s">
        <v>21</v>
      </c>
      <c r="J33" s="1" t="s">
        <v>71</v>
      </c>
      <c r="K33">
        <v>2500</v>
      </c>
      <c r="L33">
        <v>491</v>
      </c>
      <c r="M33">
        <v>1</v>
      </c>
    </row>
    <row r="34" spans="1:13" x14ac:dyDescent="0.35">
      <c r="A34" s="1" t="s">
        <v>179</v>
      </c>
      <c r="B34" s="1" t="s">
        <v>180</v>
      </c>
      <c r="C34" s="1" t="s">
        <v>181</v>
      </c>
      <c r="D34" s="1" t="s">
        <v>25</v>
      </c>
      <c r="E34" s="1" t="s">
        <v>17</v>
      </c>
      <c r="F34" s="1" t="s">
        <v>182</v>
      </c>
      <c r="G34" s="1" t="s">
        <v>65</v>
      </c>
      <c r="H34" s="1" t="s">
        <v>42</v>
      </c>
      <c r="I34" s="1" t="s">
        <v>21</v>
      </c>
      <c r="J34" s="1" t="s">
        <v>71</v>
      </c>
      <c r="K34">
        <v>2500</v>
      </c>
      <c r="L34">
        <v>4036</v>
      </c>
      <c r="M34">
        <v>1</v>
      </c>
    </row>
    <row r="35" spans="1:13" x14ac:dyDescent="0.35">
      <c r="A35" s="1" t="s">
        <v>183</v>
      </c>
      <c r="B35" s="1" t="s">
        <v>184</v>
      </c>
      <c r="C35" s="1" t="s">
        <v>185</v>
      </c>
      <c r="D35" s="1" t="s">
        <v>25</v>
      </c>
      <c r="E35" s="1" t="s">
        <v>52</v>
      </c>
      <c r="F35" s="1" t="s">
        <v>186</v>
      </c>
      <c r="G35" s="1" t="s">
        <v>105</v>
      </c>
      <c r="H35" s="1" t="s">
        <v>42</v>
      </c>
      <c r="I35" s="1" t="s">
        <v>138</v>
      </c>
      <c r="J35" s="1" t="s">
        <v>79</v>
      </c>
      <c r="K35">
        <v>6500</v>
      </c>
      <c r="L35">
        <v>2666</v>
      </c>
      <c r="M35">
        <v>0</v>
      </c>
    </row>
    <row r="36" spans="1:13" x14ac:dyDescent="0.35">
      <c r="A36" s="1" t="s">
        <v>187</v>
      </c>
      <c r="B36" s="1" t="s">
        <v>188</v>
      </c>
      <c r="C36" s="1" t="s">
        <v>189</v>
      </c>
      <c r="D36" s="1" t="s">
        <v>58</v>
      </c>
      <c r="E36" s="1" t="s">
        <v>94</v>
      </c>
      <c r="F36" s="1" t="s">
        <v>190</v>
      </c>
      <c r="G36" s="1" t="s">
        <v>41</v>
      </c>
      <c r="H36" s="1" t="s">
        <v>60</v>
      </c>
      <c r="I36" s="1" t="s">
        <v>21</v>
      </c>
      <c r="J36" s="1" t="s">
        <v>21</v>
      </c>
      <c r="K36">
        <v>1500</v>
      </c>
      <c r="L36">
        <v>1265</v>
      </c>
      <c r="M36">
        <v>0</v>
      </c>
    </row>
    <row r="37" spans="1:13" x14ac:dyDescent="0.35">
      <c r="A37" s="1" t="s">
        <v>191</v>
      </c>
      <c r="B37" s="1" t="s">
        <v>192</v>
      </c>
      <c r="C37" s="1" t="s">
        <v>193</v>
      </c>
      <c r="D37" s="1" t="s">
        <v>93</v>
      </c>
      <c r="E37" s="1" t="s">
        <v>52</v>
      </c>
      <c r="F37" s="1" t="s">
        <v>194</v>
      </c>
      <c r="G37" s="1" t="s">
        <v>195</v>
      </c>
      <c r="H37" s="1" t="s">
        <v>54</v>
      </c>
      <c r="I37" s="1" t="s">
        <v>138</v>
      </c>
      <c r="J37" s="1" t="s">
        <v>121</v>
      </c>
      <c r="K37">
        <v>6500</v>
      </c>
      <c r="L37">
        <v>4326</v>
      </c>
      <c r="M37">
        <v>0</v>
      </c>
    </row>
    <row r="38" spans="1:13" x14ac:dyDescent="0.35">
      <c r="A38" s="1" t="s">
        <v>196</v>
      </c>
      <c r="B38" s="1" t="s">
        <v>197</v>
      </c>
      <c r="C38" s="1" t="s">
        <v>198</v>
      </c>
      <c r="D38" s="1" t="s">
        <v>25</v>
      </c>
      <c r="E38" s="1" t="s">
        <v>32</v>
      </c>
      <c r="F38" s="1" t="s">
        <v>199</v>
      </c>
      <c r="G38" s="1" t="s">
        <v>27</v>
      </c>
      <c r="H38" s="1" t="s">
        <v>106</v>
      </c>
      <c r="I38" s="1" t="s">
        <v>21</v>
      </c>
      <c r="J38" s="1" t="s">
        <v>121</v>
      </c>
      <c r="K38">
        <v>0</v>
      </c>
      <c r="L38">
        <v>847</v>
      </c>
      <c r="M38">
        <v>0</v>
      </c>
    </row>
    <row r="39" spans="1:13" x14ac:dyDescent="0.35">
      <c r="A39" s="1" t="s">
        <v>200</v>
      </c>
      <c r="B39" s="1" t="s">
        <v>201</v>
      </c>
      <c r="C39" s="1" t="s">
        <v>202</v>
      </c>
      <c r="D39" s="1" t="s">
        <v>110</v>
      </c>
      <c r="E39" s="1" t="s">
        <v>17</v>
      </c>
      <c r="F39" s="1" t="s">
        <v>203</v>
      </c>
      <c r="G39" s="1" t="s">
        <v>41</v>
      </c>
      <c r="H39" s="1" t="s">
        <v>60</v>
      </c>
      <c r="I39" s="1" t="s">
        <v>21</v>
      </c>
      <c r="J39" s="1" t="s">
        <v>21</v>
      </c>
      <c r="K39">
        <v>2500</v>
      </c>
      <c r="L39">
        <v>2882</v>
      </c>
      <c r="M39">
        <v>0</v>
      </c>
    </row>
    <row r="40" spans="1:13" x14ac:dyDescent="0.35">
      <c r="A40" s="1" t="s">
        <v>204</v>
      </c>
      <c r="B40" s="1" t="s">
        <v>205</v>
      </c>
      <c r="C40" s="1" t="s">
        <v>206</v>
      </c>
      <c r="D40" s="1" t="s">
        <v>93</v>
      </c>
      <c r="E40" s="1" t="s">
        <v>17</v>
      </c>
      <c r="F40" s="1" t="s">
        <v>207</v>
      </c>
      <c r="G40" s="1" t="s">
        <v>27</v>
      </c>
      <c r="H40" s="1" t="s">
        <v>54</v>
      </c>
      <c r="I40" s="1" t="s">
        <v>21</v>
      </c>
      <c r="J40" s="1" t="s">
        <v>208</v>
      </c>
      <c r="L40">
        <v>1025</v>
      </c>
      <c r="M40">
        <v>1</v>
      </c>
    </row>
    <row r="41" spans="1:13" x14ac:dyDescent="0.35">
      <c r="A41" s="1" t="s">
        <v>21</v>
      </c>
      <c r="B41" s="1" t="s">
        <v>21</v>
      </c>
      <c r="C41" s="1" t="s">
        <v>209</v>
      </c>
      <c r="D41" s="1" t="s">
        <v>25</v>
      </c>
      <c r="E41" s="1" t="s">
        <v>17</v>
      </c>
      <c r="F41" s="1" t="s">
        <v>21</v>
      </c>
      <c r="G41" s="1" t="s">
        <v>21</v>
      </c>
      <c r="H41" s="1" t="s">
        <v>42</v>
      </c>
      <c r="I41" s="1" t="s">
        <v>21</v>
      </c>
      <c r="J41" s="1" t="s">
        <v>21</v>
      </c>
      <c r="M41">
        <v>0</v>
      </c>
    </row>
    <row r="42" spans="1:13" x14ac:dyDescent="0.35">
      <c r="A42" s="1" t="s">
        <v>210</v>
      </c>
      <c r="B42" s="1" t="s">
        <v>211</v>
      </c>
      <c r="C42" s="1" t="s">
        <v>212</v>
      </c>
      <c r="D42" s="1" t="s">
        <v>16</v>
      </c>
      <c r="E42" s="1" t="s">
        <v>39</v>
      </c>
      <c r="F42" s="1" t="s">
        <v>213</v>
      </c>
      <c r="G42" s="1" t="s">
        <v>41</v>
      </c>
      <c r="H42" s="1" t="s">
        <v>42</v>
      </c>
      <c r="I42" s="1" t="s">
        <v>21</v>
      </c>
      <c r="J42" s="1" t="s">
        <v>21</v>
      </c>
      <c r="K42">
        <v>7500</v>
      </c>
      <c r="L42">
        <v>1935</v>
      </c>
      <c r="M42">
        <v>0</v>
      </c>
    </row>
    <row r="43" spans="1:13" x14ac:dyDescent="0.35">
      <c r="A43" s="1" t="s">
        <v>214</v>
      </c>
      <c r="B43" s="1" t="s">
        <v>215</v>
      </c>
      <c r="C43" s="1" t="s">
        <v>216</v>
      </c>
      <c r="D43" s="1" t="s">
        <v>75</v>
      </c>
      <c r="E43" s="1" t="s">
        <v>39</v>
      </c>
      <c r="F43" s="1" t="s">
        <v>217</v>
      </c>
      <c r="G43" s="1" t="s">
        <v>65</v>
      </c>
      <c r="H43" s="1" t="s">
        <v>60</v>
      </c>
      <c r="I43" s="1" t="s">
        <v>21</v>
      </c>
      <c r="J43" s="1" t="s">
        <v>121</v>
      </c>
      <c r="K43">
        <v>7500</v>
      </c>
      <c r="L43">
        <v>2379</v>
      </c>
      <c r="M43">
        <v>0</v>
      </c>
    </row>
    <row r="44" spans="1:13" x14ac:dyDescent="0.35">
      <c r="A44" s="1" t="s">
        <v>218</v>
      </c>
      <c r="B44" s="1" t="s">
        <v>219</v>
      </c>
      <c r="C44" s="1" t="s">
        <v>220</v>
      </c>
      <c r="D44" s="1" t="s">
        <v>75</v>
      </c>
      <c r="E44" s="1" t="s">
        <v>39</v>
      </c>
      <c r="F44" s="1" t="s">
        <v>221</v>
      </c>
      <c r="G44" s="1" t="s">
        <v>126</v>
      </c>
      <c r="H44" s="1" t="s">
        <v>77</v>
      </c>
      <c r="I44" s="1" t="s">
        <v>21</v>
      </c>
      <c r="J44" s="1" t="s">
        <v>71</v>
      </c>
      <c r="K44">
        <v>7500</v>
      </c>
      <c r="L44">
        <v>939</v>
      </c>
      <c r="M44">
        <v>0</v>
      </c>
    </row>
    <row r="45" spans="1:13" x14ac:dyDescent="0.35">
      <c r="A45" s="1" t="s">
        <v>222</v>
      </c>
      <c r="B45" s="1" t="s">
        <v>223</v>
      </c>
      <c r="C45" s="1" t="s">
        <v>224</v>
      </c>
      <c r="D45" s="1" t="s">
        <v>25</v>
      </c>
      <c r="E45" s="1" t="s">
        <v>17</v>
      </c>
      <c r="F45" s="1" t="s">
        <v>225</v>
      </c>
      <c r="G45" s="1" t="s">
        <v>41</v>
      </c>
      <c r="H45" s="1" t="s">
        <v>96</v>
      </c>
      <c r="I45" s="1" t="s">
        <v>21</v>
      </c>
      <c r="J45" s="1" t="s">
        <v>226</v>
      </c>
      <c r="K45">
        <v>2500</v>
      </c>
      <c r="L45">
        <v>2386</v>
      </c>
      <c r="M45">
        <v>0</v>
      </c>
    </row>
    <row r="46" spans="1:13" x14ac:dyDescent="0.35">
      <c r="A46" s="1" t="s">
        <v>227</v>
      </c>
      <c r="B46" s="1" t="s">
        <v>228</v>
      </c>
      <c r="C46" s="1" t="s">
        <v>229</v>
      </c>
      <c r="D46" s="1" t="s">
        <v>58</v>
      </c>
      <c r="E46" s="1" t="s">
        <v>17</v>
      </c>
      <c r="F46" s="1" t="s">
        <v>230</v>
      </c>
      <c r="G46" s="1" t="s">
        <v>27</v>
      </c>
      <c r="H46" s="1" t="s">
        <v>60</v>
      </c>
      <c r="I46" s="1" t="s">
        <v>21</v>
      </c>
      <c r="J46" s="1" t="s">
        <v>21</v>
      </c>
      <c r="L46">
        <v>4101</v>
      </c>
      <c r="M46">
        <v>0</v>
      </c>
    </row>
    <row r="47" spans="1:13" x14ac:dyDescent="0.35">
      <c r="A47" s="1" t="s">
        <v>231</v>
      </c>
      <c r="B47" s="1" t="s">
        <v>232</v>
      </c>
      <c r="C47" s="1" t="s">
        <v>233</v>
      </c>
      <c r="D47" s="1" t="s">
        <v>25</v>
      </c>
      <c r="E47" s="1" t="s">
        <v>52</v>
      </c>
      <c r="F47" s="1" t="s">
        <v>234</v>
      </c>
      <c r="G47" s="1" t="s">
        <v>41</v>
      </c>
      <c r="H47" s="1" t="s">
        <v>42</v>
      </c>
      <c r="I47" s="1" t="s">
        <v>112</v>
      </c>
      <c r="J47" s="1" t="s">
        <v>208</v>
      </c>
      <c r="K47">
        <v>6500</v>
      </c>
      <c r="L47">
        <v>1741</v>
      </c>
      <c r="M47">
        <v>0</v>
      </c>
    </row>
    <row r="48" spans="1:13" x14ac:dyDescent="0.35">
      <c r="A48" s="1" t="s">
        <v>235</v>
      </c>
      <c r="B48" s="1" t="s">
        <v>236</v>
      </c>
      <c r="C48" s="1" t="s">
        <v>237</v>
      </c>
      <c r="D48" s="1" t="s">
        <v>150</v>
      </c>
      <c r="E48" s="1" t="s">
        <v>32</v>
      </c>
      <c r="F48" s="1" t="s">
        <v>238</v>
      </c>
      <c r="G48" s="1" t="s">
        <v>27</v>
      </c>
      <c r="H48" s="1" t="s">
        <v>35</v>
      </c>
      <c r="I48" s="1" t="s">
        <v>21</v>
      </c>
      <c r="J48" s="1" t="s">
        <v>71</v>
      </c>
      <c r="L48">
        <v>3429</v>
      </c>
      <c r="M48">
        <v>1</v>
      </c>
    </row>
    <row r="49" spans="1:13" x14ac:dyDescent="0.35">
      <c r="A49" s="1" t="s">
        <v>239</v>
      </c>
      <c r="B49" s="1" t="s">
        <v>240</v>
      </c>
      <c r="C49" s="1" t="s">
        <v>241</v>
      </c>
      <c r="D49" s="1" t="s">
        <v>135</v>
      </c>
      <c r="E49" s="1" t="s">
        <v>39</v>
      </c>
      <c r="F49" s="1" t="s">
        <v>242</v>
      </c>
      <c r="G49" s="1" t="s">
        <v>195</v>
      </c>
      <c r="H49" s="1" t="s">
        <v>106</v>
      </c>
      <c r="I49" s="1" t="s">
        <v>21</v>
      </c>
      <c r="J49" s="1" t="s">
        <v>121</v>
      </c>
      <c r="K49">
        <v>7500</v>
      </c>
      <c r="L49">
        <v>1148</v>
      </c>
      <c r="M49">
        <v>1</v>
      </c>
    </row>
    <row r="50" spans="1:13" x14ac:dyDescent="0.35">
      <c r="A50" s="1" t="s">
        <v>243</v>
      </c>
      <c r="B50" s="1" t="s">
        <v>244</v>
      </c>
      <c r="C50" s="1" t="s">
        <v>245</v>
      </c>
      <c r="D50" s="1" t="s">
        <v>75</v>
      </c>
      <c r="E50" s="1" t="s">
        <v>32</v>
      </c>
      <c r="F50" s="1" t="s">
        <v>246</v>
      </c>
      <c r="G50" s="1" t="s">
        <v>41</v>
      </c>
      <c r="H50" s="1" t="s">
        <v>60</v>
      </c>
      <c r="I50" s="1" t="s">
        <v>21</v>
      </c>
      <c r="J50" s="1" t="s">
        <v>79</v>
      </c>
      <c r="K50">
        <v>0</v>
      </c>
      <c r="L50">
        <v>4333</v>
      </c>
      <c r="M50">
        <v>0</v>
      </c>
    </row>
    <row r="51" spans="1:13" x14ac:dyDescent="0.35">
      <c r="A51" s="1" t="s">
        <v>247</v>
      </c>
      <c r="B51" s="1" t="s">
        <v>248</v>
      </c>
      <c r="C51" s="1" t="s">
        <v>249</v>
      </c>
      <c r="D51" s="1" t="s">
        <v>16</v>
      </c>
      <c r="E51" s="1" t="s">
        <v>39</v>
      </c>
      <c r="F51" s="1" t="s">
        <v>250</v>
      </c>
      <c r="G51" s="1" t="s">
        <v>65</v>
      </c>
      <c r="H51" s="1" t="s">
        <v>106</v>
      </c>
      <c r="I51" s="1" t="s">
        <v>21</v>
      </c>
      <c r="J51" s="1" t="s">
        <v>21</v>
      </c>
      <c r="K51">
        <v>7500</v>
      </c>
      <c r="L51">
        <v>4520</v>
      </c>
      <c r="M51">
        <v>1</v>
      </c>
    </row>
    <row r="52" spans="1:13" x14ac:dyDescent="0.35">
      <c r="A52" s="1" t="s">
        <v>251</v>
      </c>
      <c r="B52" s="1" t="s">
        <v>252</v>
      </c>
      <c r="C52" s="1" t="s">
        <v>253</v>
      </c>
      <c r="D52" s="1" t="s">
        <v>254</v>
      </c>
      <c r="E52" s="1" t="s">
        <v>32</v>
      </c>
      <c r="F52" s="1" t="s">
        <v>255</v>
      </c>
      <c r="G52" s="1" t="s">
        <v>126</v>
      </c>
      <c r="H52" s="1" t="s">
        <v>54</v>
      </c>
      <c r="I52" s="1" t="s">
        <v>21</v>
      </c>
      <c r="J52" s="1" t="s">
        <v>71</v>
      </c>
      <c r="K52">
        <v>0</v>
      </c>
      <c r="L52">
        <v>4191</v>
      </c>
      <c r="M52">
        <v>0</v>
      </c>
    </row>
    <row r="53" spans="1:13" x14ac:dyDescent="0.35">
      <c r="A53" s="1" t="s">
        <v>256</v>
      </c>
      <c r="B53" s="1" t="s">
        <v>257</v>
      </c>
      <c r="C53" s="1" t="s">
        <v>258</v>
      </c>
      <c r="D53" s="1" t="s">
        <v>58</v>
      </c>
      <c r="E53" s="1" t="s">
        <v>39</v>
      </c>
      <c r="F53" s="1" t="s">
        <v>259</v>
      </c>
      <c r="G53" s="1" t="s">
        <v>65</v>
      </c>
      <c r="H53" s="1" t="s">
        <v>42</v>
      </c>
      <c r="I53" s="1" t="s">
        <v>21</v>
      </c>
      <c r="J53" s="1" t="s">
        <v>21</v>
      </c>
      <c r="K53">
        <v>7500</v>
      </c>
      <c r="L53">
        <v>1816</v>
      </c>
      <c r="M53">
        <v>0</v>
      </c>
    </row>
    <row r="54" spans="1:13" x14ac:dyDescent="0.35">
      <c r="A54" s="1" t="s">
        <v>260</v>
      </c>
      <c r="B54" s="1" t="s">
        <v>261</v>
      </c>
      <c r="C54" s="1" t="s">
        <v>262</v>
      </c>
      <c r="D54" s="1" t="s">
        <v>58</v>
      </c>
      <c r="E54" s="1" t="s">
        <v>52</v>
      </c>
      <c r="F54" s="1" t="s">
        <v>263</v>
      </c>
      <c r="G54" s="1" t="s">
        <v>264</v>
      </c>
      <c r="H54" s="1" t="s">
        <v>54</v>
      </c>
      <c r="I54" s="1" t="s">
        <v>112</v>
      </c>
      <c r="J54" s="1" t="s">
        <v>21</v>
      </c>
      <c r="K54">
        <v>6500</v>
      </c>
      <c r="L54">
        <v>1589</v>
      </c>
      <c r="M54">
        <v>1</v>
      </c>
    </row>
    <row r="55" spans="1:13" x14ac:dyDescent="0.35">
      <c r="A55" s="1" t="s">
        <v>265</v>
      </c>
      <c r="B55" s="1" t="s">
        <v>266</v>
      </c>
      <c r="C55" s="1" t="s">
        <v>267</v>
      </c>
      <c r="D55" s="1" t="s">
        <v>150</v>
      </c>
      <c r="E55" s="1" t="s">
        <v>39</v>
      </c>
      <c r="F55" s="1" t="s">
        <v>268</v>
      </c>
      <c r="G55" s="1" t="s">
        <v>41</v>
      </c>
      <c r="H55" s="1" t="s">
        <v>42</v>
      </c>
      <c r="I55" s="1" t="s">
        <v>21</v>
      </c>
      <c r="J55" s="1" t="s">
        <v>21</v>
      </c>
      <c r="K55">
        <v>7500</v>
      </c>
      <c r="L55">
        <v>4742</v>
      </c>
      <c r="M55">
        <v>0</v>
      </c>
    </row>
    <row r="56" spans="1:13" x14ac:dyDescent="0.35">
      <c r="A56" s="1" t="s">
        <v>269</v>
      </c>
      <c r="B56" s="1" t="s">
        <v>270</v>
      </c>
      <c r="C56" s="1" t="s">
        <v>271</v>
      </c>
      <c r="D56" s="1" t="s">
        <v>46</v>
      </c>
      <c r="E56" s="1" t="s">
        <v>52</v>
      </c>
      <c r="F56" s="1" t="s">
        <v>272</v>
      </c>
      <c r="G56" s="1" t="s">
        <v>264</v>
      </c>
      <c r="H56" s="1" t="s">
        <v>106</v>
      </c>
      <c r="I56" s="1" t="s">
        <v>138</v>
      </c>
      <c r="J56" s="1" t="s">
        <v>21</v>
      </c>
      <c r="K56">
        <v>6500</v>
      </c>
      <c r="L56">
        <v>80003</v>
      </c>
      <c r="M56">
        <v>0</v>
      </c>
    </row>
    <row r="57" spans="1:13" x14ac:dyDescent="0.35">
      <c r="A57" s="1" t="s">
        <v>273</v>
      </c>
      <c r="B57" s="1" t="s">
        <v>274</v>
      </c>
      <c r="C57" s="1" t="s">
        <v>275</v>
      </c>
      <c r="D57" s="1" t="s">
        <v>93</v>
      </c>
      <c r="E57" s="1" t="s">
        <v>32</v>
      </c>
      <c r="F57" s="1" t="s">
        <v>276</v>
      </c>
      <c r="G57" s="1" t="s">
        <v>137</v>
      </c>
      <c r="H57" s="1" t="s">
        <v>77</v>
      </c>
      <c r="I57" s="1" t="s">
        <v>21</v>
      </c>
      <c r="J57" s="1" t="s">
        <v>79</v>
      </c>
      <c r="K57">
        <v>0</v>
      </c>
      <c r="L57">
        <v>459</v>
      </c>
      <c r="M57">
        <v>0</v>
      </c>
    </row>
    <row r="58" spans="1:13" x14ac:dyDescent="0.35">
      <c r="A58" s="1" t="s">
        <v>277</v>
      </c>
      <c r="B58" s="1" t="s">
        <v>278</v>
      </c>
      <c r="C58" s="1" t="s">
        <v>279</v>
      </c>
      <c r="D58" s="1" t="s">
        <v>167</v>
      </c>
      <c r="E58" s="1" t="s">
        <v>94</v>
      </c>
      <c r="F58" s="1" t="s">
        <v>280</v>
      </c>
      <c r="G58" s="1" t="s">
        <v>137</v>
      </c>
      <c r="H58" s="1" t="s">
        <v>20</v>
      </c>
      <c r="I58" s="1" t="s">
        <v>21</v>
      </c>
      <c r="J58" s="1" t="s">
        <v>21</v>
      </c>
      <c r="L58">
        <v>1786</v>
      </c>
      <c r="M58">
        <v>0</v>
      </c>
    </row>
    <row r="59" spans="1:13" x14ac:dyDescent="0.35">
      <c r="A59" s="1" t="s">
        <v>281</v>
      </c>
      <c r="B59" s="1" t="s">
        <v>282</v>
      </c>
      <c r="C59" s="1" t="s">
        <v>283</v>
      </c>
      <c r="D59" s="1" t="s">
        <v>284</v>
      </c>
      <c r="E59" s="1" t="s">
        <v>39</v>
      </c>
      <c r="F59" s="1" t="s">
        <v>285</v>
      </c>
      <c r="G59" s="1" t="s">
        <v>105</v>
      </c>
      <c r="H59" s="1" t="s">
        <v>96</v>
      </c>
      <c r="I59" s="1" t="s">
        <v>21</v>
      </c>
      <c r="J59" s="1" t="s">
        <v>286</v>
      </c>
      <c r="K59">
        <v>7500</v>
      </c>
      <c r="L59">
        <v>2186</v>
      </c>
      <c r="M59">
        <v>0</v>
      </c>
    </row>
    <row r="60" spans="1:13" x14ac:dyDescent="0.35">
      <c r="A60" s="1" t="s">
        <v>287</v>
      </c>
      <c r="B60" s="1" t="s">
        <v>288</v>
      </c>
      <c r="C60" s="1" t="s">
        <v>289</v>
      </c>
      <c r="D60" s="1" t="s">
        <v>75</v>
      </c>
      <c r="E60" s="1" t="s">
        <v>52</v>
      </c>
      <c r="F60" s="1" t="s">
        <v>290</v>
      </c>
      <c r="G60" s="1" t="s">
        <v>65</v>
      </c>
      <c r="H60" s="1" t="s">
        <v>42</v>
      </c>
      <c r="I60" s="1" t="s">
        <v>291</v>
      </c>
      <c r="J60" s="1" t="s">
        <v>79</v>
      </c>
      <c r="K60">
        <v>6500</v>
      </c>
      <c r="L60">
        <v>4369</v>
      </c>
      <c r="M60">
        <v>0</v>
      </c>
    </row>
    <row r="61" spans="1:13" x14ac:dyDescent="0.35">
      <c r="A61" s="1" t="s">
        <v>292</v>
      </c>
      <c r="B61" s="1" t="s">
        <v>293</v>
      </c>
      <c r="C61" s="1" t="s">
        <v>294</v>
      </c>
      <c r="D61" s="1" t="s">
        <v>135</v>
      </c>
      <c r="E61" s="1" t="s">
        <v>52</v>
      </c>
      <c r="F61" s="1" t="s">
        <v>295</v>
      </c>
      <c r="G61" s="1" t="s">
        <v>41</v>
      </c>
      <c r="H61" s="1" t="s">
        <v>60</v>
      </c>
      <c r="I61" s="1" t="s">
        <v>112</v>
      </c>
      <c r="J61" s="1" t="s">
        <v>21</v>
      </c>
      <c r="K61">
        <v>6500</v>
      </c>
      <c r="L61">
        <v>4773</v>
      </c>
      <c r="M61">
        <v>0</v>
      </c>
    </row>
    <row r="62" spans="1:13" x14ac:dyDescent="0.35">
      <c r="A62" s="1" t="s">
        <v>296</v>
      </c>
      <c r="B62" s="1" t="s">
        <v>297</v>
      </c>
      <c r="C62" s="1" t="s">
        <v>298</v>
      </c>
      <c r="D62" s="1" t="s">
        <v>25</v>
      </c>
      <c r="E62" s="1" t="s">
        <v>52</v>
      </c>
      <c r="F62" s="1" t="s">
        <v>299</v>
      </c>
      <c r="G62" s="1" t="s">
        <v>126</v>
      </c>
      <c r="H62" s="1" t="s">
        <v>35</v>
      </c>
      <c r="I62" s="1" t="s">
        <v>21</v>
      </c>
      <c r="J62" s="1" t="s">
        <v>71</v>
      </c>
      <c r="L62">
        <v>4778</v>
      </c>
      <c r="M62">
        <v>0</v>
      </c>
    </row>
    <row r="63" spans="1:13" x14ac:dyDescent="0.35">
      <c r="A63" s="1" t="s">
        <v>300</v>
      </c>
      <c r="B63" s="1" t="s">
        <v>301</v>
      </c>
      <c r="C63" s="1" t="s">
        <v>302</v>
      </c>
      <c r="D63" s="1" t="s">
        <v>25</v>
      </c>
      <c r="E63" s="1" t="s">
        <v>17</v>
      </c>
      <c r="F63" s="1" t="s">
        <v>303</v>
      </c>
      <c r="G63" s="1" t="s">
        <v>41</v>
      </c>
      <c r="H63" s="1" t="s">
        <v>60</v>
      </c>
      <c r="I63" s="1" t="s">
        <v>21</v>
      </c>
      <c r="J63" s="1" t="s">
        <v>71</v>
      </c>
      <c r="K63">
        <v>2500</v>
      </c>
      <c r="L63">
        <v>4178</v>
      </c>
      <c r="M63">
        <v>0</v>
      </c>
    </row>
    <row r="64" spans="1:13" x14ac:dyDescent="0.35">
      <c r="A64" s="1" t="s">
        <v>304</v>
      </c>
      <c r="B64" s="1" t="s">
        <v>305</v>
      </c>
      <c r="C64" s="1" t="s">
        <v>306</v>
      </c>
      <c r="D64" s="1" t="s">
        <v>58</v>
      </c>
      <c r="E64" s="1" t="s">
        <v>94</v>
      </c>
      <c r="F64" s="1" t="s">
        <v>307</v>
      </c>
      <c r="G64" s="1" t="s">
        <v>126</v>
      </c>
      <c r="H64" s="1" t="s">
        <v>96</v>
      </c>
      <c r="I64" s="1" t="s">
        <v>21</v>
      </c>
      <c r="J64" s="1" t="s">
        <v>21</v>
      </c>
      <c r="K64">
        <v>1500</v>
      </c>
      <c r="L64">
        <v>372</v>
      </c>
      <c r="M64">
        <v>1</v>
      </c>
    </row>
    <row r="65" spans="1:13" x14ac:dyDescent="0.35">
      <c r="A65" s="1" t="s">
        <v>21</v>
      </c>
      <c r="B65" s="1" t="s">
        <v>21</v>
      </c>
      <c r="C65" s="1" t="s">
        <v>308</v>
      </c>
      <c r="D65" s="1" t="s">
        <v>16</v>
      </c>
      <c r="E65" s="1" t="s">
        <v>52</v>
      </c>
      <c r="F65" s="1" t="s">
        <v>21</v>
      </c>
      <c r="G65" s="1" t="s">
        <v>21</v>
      </c>
      <c r="H65" s="1" t="s">
        <v>35</v>
      </c>
      <c r="I65" s="1" t="s">
        <v>21</v>
      </c>
      <c r="J65" s="1" t="s">
        <v>21</v>
      </c>
      <c r="M65">
        <v>0</v>
      </c>
    </row>
    <row r="66" spans="1:13" x14ac:dyDescent="0.35">
      <c r="A66" s="1" t="s">
        <v>309</v>
      </c>
      <c r="B66" s="1" t="s">
        <v>310</v>
      </c>
      <c r="C66" s="1" t="s">
        <v>311</v>
      </c>
      <c r="D66" s="1" t="s">
        <v>16</v>
      </c>
      <c r="E66" s="1" t="s">
        <v>39</v>
      </c>
      <c r="F66" s="1" t="s">
        <v>312</v>
      </c>
      <c r="G66" s="1" t="s">
        <v>41</v>
      </c>
      <c r="H66" s="1" t="s">
        <v>77</v>
      </c>
      <c r="I66" s="1" t="s">
        <v>21</v>
      </c>
      <c r="J66" s="1" t="s">
        <v>21</v>
      </c>
      <c r="K66">
        <v>7500</v>
      </c>
      <c r="L66">
        <v>1816</v>
      </c>
      <c r="M66">
        <v>0</v>
      </c>
    </row>
    <row r="67" spans="1:13" x14ac:dyDescent="0.35">
      <c r="A67" s="1" t="s">
        <v>313</v>
      </c>
      <c r="B67" s="1" t="s">
        <v>314</v>
      </c>
      <c r="C67" s="1" t="s">
        <v>315</v>
      </c>
      <c r="D67" s="1" t="s">
        <v>75</v>
      </c>
      <c r="E67" s="1" t="s">
        <v>17</v>
      </c>
      <c r="F67" s="1" t="s">
        <v>316</v>
      </c>
      <c r="G67" s="1" t="s">
        <v>126</v>
      </c>
      <c r="H67" s="1" t="s">
        <v>60</v>
      </c>
      <c r="I67" s="1" t="s">
        <v>21</v>
      </c>
      <c r="J67" s="1" t="s">
        <v>21</v>
      </c>
      <c r="K67">
        <v>2500</v>
      </c>
      <c r="L67">
        <v>4920</v>
      </c>
      <c r="M67">
        <v>0</v>
      </c>
    </row>
    <row r="68" spans="1:13" x14ac:dyDescent="0.35">
      <c r="A68" s="1" t="s">
        <v>317</v>
      </c>
      <c r="B68" s="1" t="s">
        <v>318</v>
      </c>
      <c r="C68" s="1" t="s">
        <v>319</v>
      </c>
      <c r="D68" s="1" t="s">
        <v>16</v>
      </c>
      <c r="E68" s="1" t="s">
        <v>94</v>
      </c>
      <c r="F68" s="1" t="s">
        <v>320</v>
      </c>
      <c r="G68" s="1" t="s">
        <v>65</v>
      </c>
      <c r="H68" s="1" t="s">
        <v>42</v>
      </c>
      <c r="I68" s="1" t="s">
        <v>21</v>
      </c>
      <c r="J68" s="1" t="s">
        <v>21</v>
      </c>
      <c r="K68">
        <v>1500</v>
      </c>
      <c r="L68">
        <v>390</v>
      </c>
      <c r="M68">
        <v>1</v>
      </c>
    </row>
    <row r="69" spans="1:13" x14ac:dyDescent="0.35">
      <c r="A69" s="1" t="s">
        <v>321</v>
      </c>
      <c r="B69" s="1" t="s">
        <v>322</v>
      </c>
      <c r="C69" s="1" t="s">
        <v>323</v>
      </c>
      <c r="D69" s="1" t="s">
        <v>75</v>
      </c>
      <c r="E69" s="1" t="s">
        <v>52</v>
      </c>
      <c r="F69" s="1" t="s">
        <v>324</v>
      </c>
      <c r="G69" s="1" t="s">
        <v>137</v>
      </c>
      <c r="H69" s="1" t="s">
        <v>42</v>
      </c>
      <c r="I69" s="1" t="s">
        <v>78</v>
      </c>
      <c r="J69" s="1" t="s">
        <v>286</v>
      </c>
      <c r="K69">
        <v>6500</v>
      </c>
      <c r="L69">
        <v>4596</v>
      </c>
      <c r="M69">
        <v>0</v>
      </c>
    </row>
    <row r="70" spans="1:13" x14ac:dyDescent="0.35">
      <c r="A70" s="1" t="s">
        <v>325</v>
      </c>
      <c r="B70" s="1" t="s">
        <v>326</v>
      </c>
      <c r="C70" s="1" t="s">
        <v>327</v>
      </c>
      <c r="D70" s="1" t="s">
        <v>75</v>
      </c>
      <c r="E70" s="1" t="s">
        <v>17</v>
      </c>
      <c r="F70" s="1" t="s">
        <v>328</v>
      </c>
      <c r="G70" s="1" t="s">
        <v>41</v>
      </c>
      <c r="H70" s="1" t="s">
        <v>20</v>
      </c>
      <c r="I70" s="1" t="s">
        <v>21</v>
      </c>
      <c r="J70" s="1" t="s">
        <v>71</v>
      </c>
      <c r="K70">
        <v>2500</v>
      </c>
      <c r="L70">
        <v>86508</v>
      </c>
      <c r="M70">
        <v>0</v>
      </c>
    </row>
    <row r="71" spans="1:13" x14ac:dyDescent="0.35">
      <c r="A71" s="1" t="s">
        <v>329</v>
      </c>
      <c r="B71" s="1" t="s">
        <v>330</v>
      </c>
      <c r="C71" s="1" t="s">
        <v>331</v>
      </c>
      <c r="D71" s="1" t="s">
        <v>25</v>
      </c>
      <c r="E71" s="1" t="s">
        <v>32</v>
      </c>
      <c r="F71" s="1" t="s">
        <v>332</v>
      </c>
      <c r="G71" s="1" t="s">
        <v>105</v>
      </c>
      <c r="H71" s="1" t="s">
        <v>60</v>
      </c>
      <c r="I71" s="1" t="s">
        <v>21</v>
      </c>
      <c r="J71" s="1" t="s">
        <v>71</v>
      </c>
      <c r="K71">
        <v>0</v>
      </c>
      <c r="L71">
        <v>4310</v>
      </c>
      <c r="M71">
        <v>0</v>
      </c>
    </row>
    <row r="72" spans="1:13" x14ac:dyDescent="0.35">
      <c r="A72" s="1" t="s">
        <v>333</v>
      </c>
      <c r="B72" s="1" t="s">
        <v>334</v>
      </c>
      <c r="C72" s="1" t="s">
        <v>335</v>
      </c>
      <c r="D72" s="1" t="s">
        <v>16</v>
      </c>
      <c r="E72" s="1" t="s">
        <v>17</v>
      </c>
      <c r="F72" s="1" t="s">
        <v>336</v>
      </c>
      <c r="G72" s="1" t="s">
        <v>264</v>
      </c>
      <c r="H72" s="1" t="s">
        <v>77</v>
      </c>
      <c r="I72" s="1" t="s">
        <v>21</v>
      </c>
      <c r="J72" s="1" t="s">
        <v>21</v>
      </c>
      <c r="K72">
        <v>2500</v>
      </c>
      <c r="L72">
        <v>1345</v>
      </c>
      <c r="M72">
        <v>0</v>
      </c>
    </row>
    <row r="73" spans="1:13" x14ac:dyDescent="0.35">
      <c r="A73" s="1" t="s">
        <v>337</v>
      </c>
      <c r="B73" s="1" t="s">
        <v>338</v>
      </c>
      <c r="C73" s="1" t="s">
        <v>339</v>
      </c>
      <c r="D73" s="1" t="s">
        <v>284</v>
      </c>
      <c r="E73" s="1" t="s">
        <v>94</v>
      </c>
      <c r="F73" s="1" t="s">
        <v>340</v>
      </c>
      <c r="G73" s="1" t="s">
        <v>264</v>
      </c>
      <c r="H73" s="1" t="s">
        <v>106</v>
      </c>
      <c r="I73" s="1" t="s">
        <v>21</v>
      </c>
      <c r="J73" s="1" t="s">
        <v>121</v>
      </c>
      <c r="K73">
        <v>1500</v>
      </c>
      <c r="L73">
        <v>3177</v>
      </c>
      <c r="M73">
        <v>0</v>
      </c>
    </row>
    <row r="74" spans="1:13" x14ac:dyDescent="0.35">
      <c r="A74" s="1" t="s">
        <v>341</v>
      </c>
      <c r="B74" s="1" t="s">
        <v>342</v>
      </c>
      <c r="C74" s="1" t="s">
        <v>343</v>
      </c>
      <c r="D74" s="1" t="s">
        <v>25</v>
      </c>
      <c r="E74" s="1" t="s">
        <v>39</v>
      </c>
      <c r="F74" s="1" t="s">
        <v>344</v>
      </c>
      <c r="G74" s="1" t="s">
        <v>65</v>
      </c>
      <c r="H74" s="1" t="s">
        <v>60</v>
      </c>
      <c r="I74" s="1" t="s">
        <v>21</v>
      </c>
      <c r="J74" s="1" t="s">
        <v>79</v>
      </c>
      <c r="K74">
        <v>7500</v>
      </c>
      <c r="L74">
        <v>4902</v>
      </c>
      <c r="M74">
        <v>0</v>
      </c>
    </row>
    <row r="75" spans="1:13" x14ac:dyDescent="0.35">
      <c r="A75" s="1" t="s">
        <v>345</v>
      </c>
      <c r="B75" s="1" t="s">
        <v>346</v>
      </c>
      <c r="C75" s="1" t="s">
        <v>347</v>
      </c>
      <c r="D75" s="1" t="s">
        <v>167</v>
      </c>
      <c r="E75" s="1" t="s">
        <v>94</v>
      </c>
      <c r="F75" s="1" t="s">
        <v>348</v>
      </c>
      <c r="G75" s="1" t="s">
        <v>41</v>
      </c>
      <c r="H75" s="1" t="s">
        <v>20</v>
      </c>
      <c r="I75" s="1" t="s">
        <v>21</v>
      </c>
      <c r="J75" s="1" t="s">
        <v>21</v>
      </c>
      <c r="K75">
        <v>1500</v>
      </c>
      <c r="L75">
        <v>3366</v>
      </c>
      <c r="M75">
        <v>0</v>
      </c>
    </row>
    <row r="76" spans="1:13" x14ac:dyDescent="0.35">
      <c r="A76" s="1" t="s">
        <v>349</v>
      </c>
      <c r="B76" s="1" t="s">
        <v>350</v>
      </c>
      <c r="C76" s="1" t="s">
        <v>351</v>
      </c>
      <c r="D76" s="1" t="s">
        <v>110</v>
      </c>
      <c r="E76" s="1" t="s">
        <v>32</v>
      </c>
      <c r="F76" s="1" t="s">
        <v>352</v>
      </c>
      <c r="G76" s="1" t="s">
        <v>65</v>
      </c>
      <c r="H76" s="1" t="s">
        <v>60</v>
      </c>
      <c r="I76" s="1" t="s">
        <v>21</v>
      </c>
      <c r="J76" s="1" t="s">
        <v>21</v>
      </c>
      <c r="K76">
        <v>0</v>
      </c>
      <c r="L76">
        <v>1466</v>
      </c>
      <c r="M76">
        <v>0</v>
      </c>
    </row>
    <row r="77" spans="1:13" x14ac:dyDescent="0.35">
      <c r="A77" s="1" t="s">
        <v>353</v>
      </c>
      <c r="B77" s="1" t="s">
        <v>354</v>
      </c>
      <c r="C77" s="1" t="s">
        <v>355</v>
      </c>
      <c r="D77" s="1" t="s">
        <v>135</v>
      </c>
      <c r="E77" s="1" t="s">
        <v>94</v>
      </c>
      <c r="F77" s="1" t="s">
        <v>356</v>
      </c>
      <c r="G77" s="1" t="s">
        <v>126</v>
      </c>
      <c r="H77" s="1" t="s">
        <v>96</v>
      </c>
      <c r="I77" s="1" t="s">
        <v>21</v>
      </c>
      <c r="J77" s="1" t="s">
        <v>286</v>
      </c>
      <c r="K77">
        <v>1500</v>
      </c>
      <c r="L77">
        <v>3309</v>
      </c>
      <c r="M77">
        <v>0</v>
      </c>
    </row>
    <row r="78" spans="1:13" x14ac:dyDescent="0.35">
      <c r="A78" s="1" t="s">
        <v>357</v>
      </c>
      <c r="B78" s="1" t="s">
        <v>358</v>
      </c>
      <c r="C78" s="1" t="s">
        <v>359</v>
      </c>
      <c r="D78" s="1" t="s">
        <v>58</v>
      </c>
      <c r="E78" s="1" t="s">
        <v>39</v>
      </c>
      <c r="F78" s="1" t="s">
        <v>360</v>
      </c>
      <c r="G78" s="1" t="s">
        <v>41</v>
      </c>
      <c r="H78" s="1" t="s">
        <v>106</v>
      </c>
      <c r="I78" s="1" t="s">
        <v>21</v>
      </c>
      <c r="J78" s="1" t="s">
        <v>21</v>
      </c>
      <c r="K78">
        <v>7500</v>
      </c>
      <c r="L78">
        <v>2029</v>
      </c>
      <c r="M78">
        <v>0</v>
      </c>
    </row>
    <row r="79" spans="1:13" x14ac:dyDescent="0.35">
      <c r="A79" s="1" t="s">
        <v>361</v>
      </c>
      <c r="B79" s="1" t="s">
        <v>362</v>
      </c>
      <c r="C79" s="1" t="s">
        <v>363</v>
      </c>
      <c r="D79" s="1" t="s">
        <v>284</v>
      </c>
      <c r="E79" s="1" t="s">
        <v>39</v>
      </c>
      <c r="F79" s="1" t="s">
        <v>364</v>
      </c>
      <c r="G79" s="1" t="s">
        <v>27</v>
      </c>
      <c r="H79" s="1" t="s">
        <v>60</v>
      </c>
      <c r="I79" s="1" t="s">
        <v>21</v>
      </c>
      <c r="J79" s="1" t="s">
        <v>286</v>
      </c>
      <c r="K79">
        <v>7500</v>
      </c>
      <c r="L79">
        <v>3655</v>
      </c>
      <c r="M79">
        <v>0</v>
      </c>
    </row>
    <row r="80" spans="1:13" x14ac:dyDescent="0.35">
      <c r="A80" s="1" t="s">
        <v>365</v>
      </c>
      <c r="B80" s="1" t="s">
        <v>366</v>
      </c>
      <c r="C80" s="1" t="s">
        <v>367</v>
      </c>
      <c r="D80" s="1" t="s">
        <v>75</v>
      </c>
      <c r="E80" s="1" t="s">
        <v>17</v>
      </c>
      <c r="F80" s="1" t="s">
        <v>368</v>
      </c>
      <c r="G80" s="1" t="s">
        <v>126</v>
      </c>
      <c r="H80" s="1" t="s">
        <v>42</v>
      </c>
      <c r="I80" s="1" t="s">
        <v>21</v>
      </c>
      <c r="J80" s="1" t="s">
        <v>71</v>
      </c>
      <c r="K80">
        <v>2500</v>
      </c>
      <c r="L80">
        <v>3956</v>
      </c>
      <c r="M80">
        <v>0</v>
      </c>
    </row>
    <row r="81" spans="1:13" x14ac:dyDescent="0.35">
      <c r="A81" s="1" t="s">
        <v>369</v>
      </c>
      <c r="B81" s="1" t="s">
        <v>370</v>
      </c>
      <c r="C81" s="1" t="s">
        <v>371</v>
      </c>
      <c r="D81" s="1" t="s">
        <v>25</v>
      </c>
      <c r="E81" s="1" t="s">
        <v>17</v>
      </c>
      <c r="F81" s="1" t="s">
        <v>372</v>
      </c>
      <c r="G81" s="1" t="s">
        <v>126</v>
      </c>
      <c r="H81" s="1" t="s">
        <v>35</v>
      </c>
      <c r="I81" s="1" t="s">
        <v>21</v>
      </c>
      <c r="J81" s="1" t="s">
        <v>21</v>
      </c>
      <c r="K81">
        <v>2500</v>
      </c>
      <c r="L81">
        <v>1659</v>
      </c>
      <c r="M81">
        <v>0</v>
      </c>
    </row>
    <row r="82" spans="1:13" x14ac:dyDescent="0.35">
      <c r="A82" s="1" t="s">
        <v>373</v>
      </c>
      <c r="B82" s="1" t="s">
        <v>374</v>
      </c>
      <c r="C82" s="1" t="s">
        <v>375</v>
      </c>
      <c r="D82" s="1" t="s">
        <v>75</v>
      </c>
      <c r="E82" s="1" t="s">
        <v>39</v>
      </c>
      <c r="F82" s="1" t="s">
        <v>376</v>
      </c>
      <c r="G82" s="1" t="s">
        <v>41</v>
      </c>
      <c r="H82" s="1" t="s">
        <v>42</v>
      </c>
      <c r="I82" s="1" t="s">
        <v>21</v>
      </c>
      <c r="J82" s="1" t="s">
        <v>21</v>
      </c>
      <c r="K82">
        <v>7500</v>
      </c>
      <c r="L82">
        <v>4737</v>
      </c>
      <c r="M82">
        <v>1</v>
      </c>
    </row>
    <row r="83" spans="1:13" x14ac:dyDescent="0.35">
      <c r="A83" s="1" t="s">
        <v>377</v>
      </c>
      <c r="B83" s="1" t="s">
        <v>378</v>
      </c>
      <c r="C83" s="1" t="s">
        <v>379</v>
      </c>
      <c r="D83" s="1" t="s">
        <v>58</v>
      </c>
      <c r="E83" s="1" t="s">
        <v>39</v>
      </c>
      <c r="F83" s="1" t="s">
        <v>380</v>
      </c>
      <c r="G83" s="1" t="s">
        <v>381</v>
      </c>
      <c r="H83" s="1" t="s">
        <v>35</v>
      </c>
      <c r="I83" s="1" t="s">
        <v>21</v>
      </c>
      <c r="J83" s="1" t="s">
        <v>21</v>
      </c>
      <c r="K83">
        <v>7500</v>
      </c>
      <c r="L83">
        <v>2482</v>
      </c>
      <c r="M83">
        <v>0</v>
      </c>
    </row>
    <row r="84" spans="1:13" x14ac:dyDescent="0.35">
      <c r="A84" s="1" t="s">
        <v>382</v>
      </c>
      <c r="B84" s="1" t="s">
        <v>383</v>
      </c>
      <c r="C84" s="1" t="s">
        <v>384</v>
      </c>
      <c r="D84" s="1" t="s">
        <v>25</v>
      </c>
      <c r="E84" s="1" t="s">
        <v>94</v>
      </c>
      <c r="F84" s="1" t="s">
        <v>385</v>
      </c>
      <c r="G84" s="1" t="s">
        <v>126</v>
      </c>
      <c r="H84" s="1" t="s">
        <v>106</v>
      </c>
      <c r="I84" s="1" t="s">
        <v>21</v>
      </c>
      <c r="J84" s="1" t="s">
        <v>71</v>
      </c>
      <c r="K84">
        <v>1500</v>
      </c>
      <c r="L84">
        <v>1992</v>
      </c>
      <c r="M84">
        <v>0</v>
      </c>
    </row>
    <row r="85" spans="1:13" x14ac:dyDescent="0.35">
      <c r="A85" s="1" t="s">
        <v>386</v>
      </c>
      <c r="B85" s="1" t="s">
        <v>387</v>
      </c>
      <c r="C85" s="1" t="s">
        <v>388</v>
      </c>
      <c r="D85" s="1" t="s">
        <v>75</v>
      </c>
      <c r="E85" s="1" t="s">
        <v>94</v>
      </c>
      <c r="F85" s="1" t="s">
        <v>389</v>
      </c>
      <c r="G85" s="1" t="s">
        <v>65</v>
      </c>
      <c r="H85" s="1" t="s">
        <v>60</v>
      </c>
      <c r="I85" s="1" t="s">
        <v>21</v>
      </c>
      <c r="J85" s="1" t="s">
        <v>121</v>
      </c>
      <c r="K85">
        <v>1500</v>
      </c>
      <c r="L85">
        <v>4431</v>
      </c>
      <c r="M85">
        <v>0</v>
      </c>
    </row>
    <row r="86" spans="1:13" x14ac:dyDescent="0.35">
      <c r="A86" s="1" t="s">
        <v>390</v>
      </c>
      <c r="B86" s="1" t="s">
        <v>391</v>
      </c>
      <c r="C86" s="1" t="s">
        <v>392</v>
      </c>
      <c r="D86" s="1" t="s">
        <v>58</v>
      </c>
      <c r="E86" s="1" t="s">
        <v>32</v>
      </c>
      <c r="F86" s="1" t="s">
        <v>393</v>
      </c>
      <c r="G86" s="1" t="s">
        <v>126</v>
      </c>
      <c r="H86" s="1" t="s">
        <v>42</v>
      </c>
      <c r="I86" s="1" t="s">
        <v>21</v>
      </c>
      <c r="J86" s="1" t="s">
        <v>21</v>
      </c>
      <c r="K86">
        <v>0</v>
      </c>
      <c r="L86">
        <v>926</v>
      </c>
      <c r="M86">
        <v>0</v>
      </c>
    </row>
    <row r="87" spans="1:13" x14ac:dyDescent="0.35">
      <c r="A87" s="1" t="s">
        <v>394</v>
      </c>
      <c r="B87" s="1" t="s">
        <v>395</v>
      </c>
      <c r="C87" s="1" t="s">
        <v>396</v>
      </c>
      <c r="D87" s="1" t="s">
        <v>58</v>
      </c>
      <c r="E87" s="1" t="s">
        <v>94</v>
      </c>
      <c r="F87" s="1" t="s">
        <v>397</v>
      </c>
      <c r="G87" s="1" t="s">
        <v>381</v>
      </c>
      <c r="H87" s="1" t="s">
        <v>54</v>
      </c>
      <c r="I87" s="1" t="s">
        <v>21</v>
      </c>
      <c r="J87" s="1" t="s">
        <v>21</v>
      </c>
      <c r="K87">
        <v>1500</v>
      </c>
      <c r="L87">
        <v>987</v>
      </c>
      <c r="M87">
        <v>1</v>
      </c>
    </row>
    <row r="88" spans="1:13" x14ac:dyDescent="0.35">
      <c r="A88" s="1" t="s">
        <v>398</v>
      </c>
      <c r="B88" s="1" t="s">
        <v>399</v>
      </c>
      <c r="C88" s="1" t="s">
        <v>400</v>
      </c>
      <c r="D88" s="1" t="s">
        <v>58</v>
      </c>
      <c r="E88" s="1" t="s">
        <v>94</v>
      </c>
      <c r="F88" s="1" t="s">
        <v>401</v>
      </c>
      <c r="G88" s="1" t="s">
        <v>126</v>
      </c>
      <c r="H88" s="1" t="s">
        <v>106</v>
      </c>
      <c r="I88" s="1" t="s">
        <v>21</v>
      </c>
      <c r="J88" s="1" t="s">
        <v>21</v>
      </c>
      <c r="K88">
        <v>1500</v>
      </c>
      <c r="L88">
        <v>1517</v>
      </c>
      <c r="M88">
        <v>0</v>
      </c>
    </row>
    <row r="89" spans="1:13" x14ac:dyDescent="0.35">
      <c r="A89" s="1" t="s">
        <v>402</v>
      </c>
      <c r="B89" s="1" t="s">
        <v>403</v>
      </c>
      <c r="C89" s="1" t="s">
        <v>404</v>
      </c>
      <c r="D89" s="1" t="s">
        <v>25</v>
      </c>
      <c r="E89" s="1" t="s">
        <v>94</v>
      </c>
      <c r="F89" s="1" t="s">
        <v>405</v>
      </c>
      <c r="G89" s="1" t="s">
        <v>41</v>
      </c>
      <c r="H89" s="1" t="s">
        <v>54</v>
      </c>
      <c r="I89" s="1" t="s">
        <v>21</v>
      </c>
      <c r="J89" s="1" t="s">
        <v>21</v>
      </c>
      <c r="K89">
        <v>1500</v>
      </c>
      <c r="L89">
        <v>4246</v>
      </c>
      <c r="M89">
        <v>0</v>
      </c>
    </row>
    <row r="90" spans="1:13" x14ac:dyDescent="0.35">
      <c r="A90" s="1" t="s">
        <v>406</v>
      </c>
      <c r="B90" s="1" t="s">
        <v>407</v>
      </c>
      <c r="C90" s="1" t="s">
        <v>408</v>
      </c>
      <c r="D90" s="1" t="s">
        <v>58</v>
      </c>
      <c r="E90" s="1" t="s">
        <v>32</v>
      </c>
      <c r="F90" s="1" t="s">
        <v>409</v>
      </c>
      <c r="G90" s="1" t="s">
        <v>65</v>
      </c>
      <c r="H90" s="1" t="s">
        <v>42</v>
      </c>
      <c r="I90" s="1" t="s">
        <v>21</v>
      </c>
      <c r="J90" s="1" t="s">
        <v>21</v>
      </c>
      <c r="L90">
        <v>84849</v>
      </c>
      <c r="M90">
        <v>0</v>
      </c>
    </row>
    <row r="91" spans="1:13" x14ac:dyDescent="0.35">
      <c r="A91" s="1" t="s">
        <v>410</v>
      </c>
      <c r="B91" s="1" t="s">
        <v>411</v>
      </c>
      <c r="C91" s="1" t="s">
        <v>412</v>
      </c>
      <c r="D91" s="1" t="s">
        <v>25</v>
      </c>
      <c r="E91" s="1" t="s">
        <v>17</v>
      </c>
      <c r="F91" s="1" t="s">
        <v>413</v>
      </c>
      <c r="G91" s="1" t="s">
        <v>65</v>
      </c>
      <c r="H91" s="1" t="s">
        <v>106</v>
      </c>
      <c r="I91" s="1" t="s">
        <v>21</v>
      </c>
      <c r="J91" s="1" t="s">
        <v>208</v>
      </c>
      <c r="K91">
        <v>2500</v>
      </c>
      <c r="L91">
        <v>1591</v>
      </c>
      <c r="M91">
        <v>0</v>
      </c>
    </row>
    <row r="92" spans="1:13" x14ac:dyDescent="0.35">
      <c r="A92" s="1" t="s">
        <v>414</v>
      </c>
      <c r="B92" s="1" t="s">
        <v>415</v>
      </c>
      <c r="C92" s="1" t="s">
        <v>416</v>
      </c>
      <c r="D92" s="1" t="s">
        <v>167</v>
      </c>
      <c r="E92" s="1" t="s">
        <v>52</v>
      </c>
      <c r="F92" s="1" t="s">
        <v>417</v>
      </c>
      <c r="G92" s="1" t="s">
        <v>264</v>
      </c>
      <c r="H92" s="1" t="s">
        <v>42</v>
      </c>
      <c r="I92" s="1" t="s">
        <v>78</v>
      </c>
      <c r="J92" s="1" t="s">
        <v>21</v>
      </c>
      <c r="K92">
        <v>6500</v>
      </c>
      <c r="L92">
        <v>4157</v>
      </c>
      <c r="M92">
        <v>0</v>
      </c>
    </row>
    <row r="93" spans="1:13" x14ac:dyDescent="0.35">
      <c r="A93" s="1" t="s">
        <v>418</v>
      </c>
      <c r="B93" s="1" t="s">
        <v>419</v>
      </c>
      <c r="C93" s="1" t="s">
        <v>420</v>
      </c>
      <c r="D93" s="1" t="s">
        <v>58</v>
      </c>
      <c r="E93" s="1" t="s">
        <v>52</v>
      </c>
      <c r="F93" s="1" t="s">
        <v>421</v>
      </c>
      <c r="G93" s="1" t="s">
        <v>41</v>
      </c>
      <c r="H93" s="1" t="s">
        <v>60</v>
      </c>
      <c r="I93" s="1" t="s">
        <v>21</v>
      </c>
      <c r="J93" s="1" t="s">
        <v>21</v>
      </c>
      <c r="K93">
        <v>6500</v>
      </c>
      <c r="L93">
        <v>3337</v>
      </c>
      <c r="M93">
        <v>0</v>
      </c>
    </row>
    <row r="94" spans="1:13" x14ac:dyDescent="0.35">
      <c r="A94" s="1" t="s">
        <v>422</v>
      </c>
      <c r="B94" s="1" t="s">
        <v>423</v>
      </c>
      <c r="C94" s="1" t="s">
        <v>424</v>
      </c>
      <c r="D94" s="1" t="s">
        <v>16</v>
      </c>
      <c r="E94" s="1" t="s">
        <v>39</v>
      </c>
      <c r="F94" s="1" t="s">
        <v>425</v>
      </c>
      <c r="G94" s="1" t="s">
        <v>126</v>
      </c>
      <c r="H94" s="1" t="s">
        <v>77</v>
      </c>
      <c r="I94" s="1" t="s">
        <v>21</v>
      </c>
      <c r="J94" s="1" t="s">
        <v>21</v>
      </c>
      <c r="K94">
        <v>7500</v>
      </c>
      <c r="L94">
        <v>1711</v>
      </c>
      <c r="M94">
        <v>0</v>
      </c>
    </row>
    <row r="95" spans="1:13" x14ac:dyDescent="0.35">
      <c r="A95" s="1" t="s">
        <v>426</v>
      </c>
      <c r="B95" s="1" t="s">
        <v>427</v>
      </c>
      <c r="C95" s="1" t="s">
        <v>428</v>
      </c>
      <c r="D95" s="1" t="s">
        <v>75</v>
      </c>
      <c r="E95" s="1" t="s">
        <v>32</v>
      </c>
      <c r="F95" s="1" t="s">
        <v>429</v>
      </c>
      <c r="G95" s="1" t="s">
        <v>41</v>
      </c>
      <c r="H95" s="1" t="s">
        <v>106</v>
      </c>
      <c r="I95" s="1" t="s">
        <v>21</v>
      </c>
      <c r="J95" s="1" t="s">
        <v>121</v>
      </c>
      <c r="K95">
        <v>0</v>
      </c>
      <c r="L95">
        <v>2227</v>
      </c>
      <c r="M95">
        <v>1</v>
      </c>
    </row>
    <row r="96" spans="1:13" x14ac:dyDescent="0.35">
      <c r="A96" s="1" t="s">
        <v>430</v>
      </c>
      <c r="B96" s="1" t="s">
        <v>431</v>
      </c>
      <c r="C96" s="1" t="s">
        <v>432</v>
      </c>
      <c r="D96" s="1" t="s">
        <v>284</v>
      </c>
      <c r="E96" s="1" t="s">
        <v>52</v>
      </c>
      <c r="F96" s="1" t="s">
        <v>433</v>
      </c>
      <c r="G96" s="1" t="s">
        <v>65</v>
      </c>
      <c r="H96" s="1" t="s">
        <v>106</v>
      </c>
      <c r="I96" s="1" t="s">
        <v>291</v>
      </c>
      <c r="J96" s="1" t="s">
        <v>121</v>
      </c>
      <c r="K96">
        <v>6500</v>
      </c>
      <c r="L96">
        <v>3446</v>
      </c>
      <c r="M96">
        <v>0</v>
      </c>
    </row>
    <row r="97" spans="1:13" x14ac:dyDescent="0.35">
      <c r="A97" s="1" t="s">
        <v>434</v>
      </c>
      <c r="B97" s="1" t="s">
        <v>435</v>
      </c>
      <c r="C97" s="1" t="s">
        <v>436</v>
      </c>
      <c r="D97" s="1" t="s">
        <v>135</v>
      </c>
      <c r="E97" s="1" t="s">
        <v>39</v>
      </c>
      <c r="F97" s="1" t="s">
        <v>437</v>
      </c>
      <c r="G97" s="1" t="s">
        <v>65</v>
      </c>
      <c r="H97" s="1" t="s">
        <v>42</v>
      </c>
      <c r="I97" s="1" t="s">
        <v>21</v>
      </c>
      <c r="J97" s="1" t="s">
        <v>79</v>
      </c>
      <c r="K97">
        <v>7500</v>
      </c>
      <c r="L97">
        <v>1658</v>
      </c>
      <c r="M97">
        <v>0</v>
      </c>
    </row>
    <row r="98" spans="1:13" x14ac:dyDescent="0.35">
      <c r="A98" s="1" t="s">
        <v>438</v>
      </c>
      <c r="B98" s="1" t="s">
        <v>439</v>
      </c>
      <c r="C98" s="1" t="s">
        <v>440</v>
      </c>
      <c r="D98" s="1" t="s">
        <v>110</v>
      </c>
      <c r="E98" s="1" t="s">
        <v>39</v>
      </c>
      <c r="F98" s="1" t="s">
        <v>441</v>
      </c>
      <c r="G98" s="1" t="s">
        <v>65</v>
      </c>
      <c r="H98" s="1" t="s">
        <v>106</v>
      </c>
      <c r="I98" s="1" t="s">
        <v>21</v>
      </c>
      <c r="J98" s="1" t="s">
        <v>21</v>
      </c>
      <c r="K98">
        <v>7500</v>
      </c>
      <c r="L98">
        <v>2776</v>
      </c>
      <c r="M98">
        <v>0</v>
      </c>
    </row>
    <row r="99" spans="1:13" x14ac:dyDescent="0.35">
      <c r="A99" s="1" t="s">
        <v>442</v>
      </c>
      <c r="B99" s="1" t="s">
        <v>443</v>
      </c>
      <c r="C99" s="1" t="s">
        <v>444</v>
      </c>
      <c r="D99" s="1" t="s">
        <v>75</v>
      </c>
      <c r="E99" s="1" t="s">
        <v>32</v>
      </c>
      <c r="F99" s="1" t="s">
        <v>445</v>
      </c>
      <c r="G99" s="1" t="s">
        <v>41</v>
      </c>
      <c r="H99" s="1" t="s">
        <v>60</v>
      </c>
      <c r="I99" s="1" t="s">
        <v>21</v>
      </c>
      <c r="J99" s="1" t="s">
        <v>21</v>
      </c>
      <c r="K99">
        <v>0</v>
      </c>
      <c r="L99">
        <v>205</v>
      </c>
      <c r="M99">
        <v>0</v>
      </c>
    </row>
    <row r="100" spans="1:13" x14ac:dyDescent="0.35">
      <c r="A100" s="1" t="s">
        <v>446</v>
      </c>
      <c r="B100" s="1" t="s">
        <v>447</v>
      </c>
      <c r="C100" s="1" t="s">
        <v>448</v>
      </c>
      <c r="D100" s="1" t="s">
        <v>167</v>
      </c>
      <c r="E100" s="1" t="s">
        <v>17</v>
      </c>
      <c r="F100" s="1" t="s">
        <v>449</v>
      </c>
      <c r="G100" s="1" t="s">
        <v>126</v>
      </c>
      <c r="H100" s="1" t="s">
        <v>42</v>
      </c>
      <c r="I100" s="1" t="s">
        <v>21</v>
      </c>
      <c r="J100" s="1" t="s">
        <v>21</v>
      </c>
      <c r="K100">
        <v>2500</v>
      </c>
      <c r="L100">
        <v>3167</v>
      </c>
      <c r="M100">
        <v>0</v>
      </c>
    </row>
    <row r="101" spans="1:13" x14ac:dyDescent="0.35">
      <c r="A101" s="1" t="s">
        <v>450</v>
      </c>
      <c r="B101" s="1" t="s">
        <v>451</v>
      </c>
      <c r="C101" s="1" t="s">
        <v>452</v>
      </c>
      <c r="D101" s="1" t="s">
        <v>75</v>
      </c>
      <c r="E101" s="1" t="s">
        <v>52</v>
      </c>
      <c r="F101" s="1" t="s">
        <v>453</v>
      </c>
      <c r="G101" s="1" t="s">
        <v>34</v>
      </c>
      <c r="H101" s="1" t="s">
        <v>20</v>
      </c>
      <c r="I101" s="1" t="s">
        <v>138</v>
      </c>
      <c r="J101" s="1" t="s">
        <v>226</v>
      </c>
      <c r="K101">
        <v>6500</v>
      </c>
      <c r="L101">
        <v>2278</v>
      </c>
      <c r="M101">
        <v>0</v>
      </c>
    </row>
    <row r="102" spans="1:13" x14ac:dyDescent="0.35">
      <c r="A102" s="1" t="s">
        <v>454</v>
      </c>
      <c r="B102" s="1" t="s">
        <v>455</v>
      </c>
      <c r="C102" s="1" t="s">
        <v>456</v>
      </c>
      <c r="D102" s="1" t="s">
        <v>254</v>
      </c>
      <c r="E102" s="1" t="s">
        <v>94</v>
      </c>
      <c r="F102" s="1" t="s">
        <v>457</v>
      </c>
      <c r="G102" s="1" t="s">
        <v>126</v>
      </c>
      <c r="H102" s="1" t="s">
        <v>35</v>
      </c>
      <c r="I102" s="1" t="s">
        <v>21</v>
      </c>
      <c r="J102" s="1" t="s">
        <v>121</v>
      </c>
      <c r="K102">
        <v>1500</v>
      </c>
      <c r="M102">
        <v>0</v>
      </c>
    </row>
    <row r="103" spans="1:13" x14ac:dyDescent="0.35">
      <c r="A103" s="1" t="s">
        <v>458</v>
      </c>
      <c r="B103" s="1" t="s">
        <v>459</v>
      </c>
      <c r="C103" s="1" t="s">
        <v>460</v>
      </c>
      <c r="D103" s="1" t="s">
        <v>58</v>
      </c>
      <c r="E103" s="1" t="s">
        <v>17</v>
      </c>
      <c r="F103" s="1" t="s">
        <v>461</v>
      </c>
      <c r="G103" s="1" t="s">
        <v>137</v>
      </c>
      <c r="H103" s="1" t="s">
        <v>42</v>
      </c>
      <c r="I103" s="1" t="s">
        <v>21</v>
      </c>
      <c r="J103" s="1" t="s">
        <v>21</v>
      </c>
      <c r="K103">
        <v>2500</v>
      </c>
      <c r="M103">
        <v>1</v>
      </c>
    </row>
    <row r="104" spans="1:13" x14ac:dyDescent="0.35">
      <c r="A104" s="1" t="s">
        <v>462</v>
      </c>
      <c r="B104" s="1" t="s">
        <v>463</v>
      </c>
      <c r="C104" s="1" t="s">
        <v>464</v>
      </c>
      <c r="D104" s="1" t="s">
        <v>58</v>
      </c>
      <c r="E104" s="1" t="s">
        <v>17</v>
      </c>
      <c r="F104" s="1" t="s">
        <v>465</v>
      </c>
      <c r="G104" s="1" t="s">
        <v>65</v>
      </c>
      <c r="H104" s="1" t="s">
        <v>96</v>
      </c>
      <c r="I104" s="1" t="s">
        <v>21</v>
      </c>
      <c r="J104" s="1" t="s">
        <v>21</v>
      </c>
      <c r="K104">
        <v>2500</v>
      </c>
      <c r="L104">
        <v>2764</v>
      </c>
      <c r="M104">
        <v>0</v>
      </c>
    </row>
    <row r="105" spans="1:13" x14ac:dyDescent="0.35">
      <c r="A105" s="1" t="s">
        <v>466</v>
      </c>
      <c r="B105" s="1" t="s">
        <v>467</v>
      </c>
      <c r="C105" s="1" t="s">
        <v>468</v>
      </c>
      <c r="D105" s="1" t="s">
        <v>75</v>
      </c>
      <c r="E105" s="1" t="s">
        <v>32</v>
      </c>
      <c r="F105" s="1" t="s">
        <v>469</v>
      </c>
      <c r="G105" s="1" t="s">
        <v>41</v>
      </c>
      <c r="H105" s="1" t="s">
        <v>42</v>
      </c>
      <c r="I105" s="1" t="s">
        <v>21</v>
      </c>
      <c r="J105" s="1" t="s">
        <v>21</v>
      </c>
      <c r="K105">
        <v>0</v>
      </c>
      <c r="L105">
        <v>1749</v>
      </c>
      <c r="M105">
        <v>0</v>
      </c>
    </row>
    <row r="106" spans="1:13" x14ac:dyDescent="0.35">
      <c r="A106" s="1" t="s">
        <v>470</v>
      </c>
      <c r="B106" s="1" t="s">
        <v>471</v>
      </c>
      <c r="C106" s="1" t="s">
        <v>472</v>
      </c>
      <c r="D106" s="1" t="s">
        <v>93</v>
      </c>
      <c r="E106" s="1" t="s">
        <v>94</v>
      </c>
      <c r="F106" s="1" t="s">
        <v>21</v>
      </c>
      <c r="G106" s="1" t="s">
        <v>89</v>
      </c>
      <c r="H106" s="1" t="s">
        <v>35</v>
      </c>
      <c r="I106" s="1" t="s">
        <v>21</v>
      </c>
      <c r="J106" s="1" t="s">
        <v>21</v>
      </c>
      <c r="K106">
        <v>1500</v>
      </c>
      <c r="L106">
        <v>4700</v>
      </c>
      <c r="M106">
        <v>0</v>
      </c>
    </row>
    <row r="107" spans="1:13" x14ac:dyDescent="0.35">
      <c r="A107" s="1" t="s">
        <v>473</v>
      </c>
      <c r="B107" s="1" t="s">
        <v>474</v>
      </c>
      <c r="C107" s="1" t="s">
        <v>475</v>
      </c>
      <c r="D107" s="1" t="s">
        <v>16</v>
      </c>
      <c r="E107" s="1" t="s">
        <v>39</v>
      </c>
      <c r="F107" s="1" t="s">
        <v>476</v>
      </c>
      <c r="G107" s="1" t="s">
        <v>34</v>
      </c>
      <c r="H107" s="1" t="s">
        <v>42</v>
      </c>
      <c r="I107" s="1" t="s">
        <v>21</v>
      </c>
      <c r="J107" s="1" t="s">
        <v>21</v>
      </c>
      <c r="K107">
        <v>7500</v>
      </c>
      <c r="L107">
        <v>4501</v>
      </c>
      <c r="M107">
        <v>0</v>
      </c>
    </row>
    <row r="108" spans="1:13" x14ac:dyDescent="0.35">
      <c r="A108" s="1" t="s">
        <v>477</v>
      </c>
      <c r="B108" s="1" t="s">
        <v>478</v>
      </c>
      <c r="C108" s="1" t="s">
        <v>479</v>
      </c>
      <c r="D108" s="1" t="s">
        <v>58</v>
      </c>
      <c r="E108" s="1" t="s">
        <v>94</v>
      </c>
      <c r="F108" s="1" t="s">
        <v>480</v>
      </c>
      <c r="G108" s="1" t="s">
        <v>41</v>
      </c>
      <c r="H108" s="1" t="s">
        <v>106</v>
      </c>
      <c r="I108" s="1" t="s">
        <v>21</v>
      </c>
      <c r="J108" s="1" t="s">
        <v>21</v>
      </c>
      <c r="K108">
        <v>1500</v>
      </c>
      <c r="L108">
        <v>2226</v>
      </c>
      <c r="M108">
        <v>0</v>
      </c>
    </row>
    <row r="109" spans="1:13" x14ac:dyDescent="0.35">
      <c r="A109" s="1" t="s">
        <v>481</v>
      </c>
      <c r="B109" s="1" t="s">
        <v>482</v>
      </c>
      <c r="C109" s="1" t="s">
        <v>483</v>
      </c>
      <c r="D109" s="1" t="s">
        <v>75</v>
      </c>
      <c r="E109" s="1" t="s">
        <v>17</v>
      </c>
      <c r="F109" s="1" t="s">
        <v>484</v>
      </c>
      <c r="G109" s="1" t="s">
        <v>485</v>
      </c>
      <c r="H109" s="1" t="s">
        <v>54</v>
      </c>
      <c r="I109" s="1" t="s">
        <v>21</v>
      </c>
      <c r="J109" s="1" t="s">
        <v>21</v>
      </c>
      <c r="K109">
        <v>2500</v>
      </c>
      <c r="L109">
        <v>693</v>
      </c>
      <c r="M109">
        <v>0</v>
      </c>
    </row>
    <row r="110" spans="1:13" x14ac:dyDescent="0.35">
      <c r="A110" s="1" t="s">
        <v>486</v>
      </c>
      <c r="B110" s="1" t="s">
        <v>252</v>
      </c>
      <c r="C110" s="1" t="s">
        <v>487</v>
      </c>
      <c r="D110" s="1" t="s">
        <v>16</v>
      </c>
      <c r="E110" s="1" t="s">
        <v>52</v>
      </c>
      <c r="F110" s="1" t="s">
        <v>488</v>
      </c>
      <c r="G110" s="1" t="s">
        <v>126</v>
      </c>
      <c r="H110" s="1" t="s">
        <v>106</v>
      </c>
      <c r="I110" s="1" t="s">
        <v>78</v>
      </c>
      <c r="J110" s="1" t="s">
        <v>21</v>
      </c>
      <c r="K110">
        <v>6500</v>
      </c>
      <c r="L110">
        <v>3125</v>
      </c>
      <c r="M110">
        <v>0</v>
      </c>
    </row>
    <row r="111" spans="1:13" x14ac:dyDescent="0.35">
      <c r="A111" s="1" t="s">
        <v>489</v>
      </c>
      <c r="B111" s="1" t="s">
        <v>490</v>
      </c>
      <c r="C111" s="1" t="s">
        <v>491</v>
      </c>
      <c r="D111" s="1" t="s">
        <v>16</v>
      </c>
      <c r="E111" s="1" t="s">
        <v>32</v>
      </c>
      <c r="F111" s="1" t="s">
        <v>492</v>
      </c>
      <c r="G111" s="1" t="s">
        <v>89</v>
      </c>
      <c r="H111" s="1" t="s">
        <v>42</v>
      </c>
      <c r="I111" s="1" t="s">
        <v>21</v>
      </c>
      <c r="J111" s="1" t="s">
        <v>21</v>
      </c>
      <c r="K111">
        <v>0</v>
      </c>
      <c r="L111">
        <v>1533</v>
      </c>
      <c r="M111">
        <v>0</v>
      </c>
    </row>
    <row r="112" spans="1:13" x14ac:dyDescent="0.35">
      <c r="A112" s="1" t="s">
        <v>493</v>
      </c>
      <c r="B112" s="1" t="s">
        <v>494</v>
      </c>
      <c r="C112" s="1" t="s">
        <v>495</v>
      </c>
      <c r="D112" s="1" t="s">
        <v>16</v>
      </c>
      <c r="E112" s="1" t="s">
        <v>94</v>
      </c>
      <c r="F112" s="1" t="s">
        <v>496</v>
      </c>
      <c r="G112" s="1" t="s">
        <v>41</v>
      </c>
      <c r="H112" s="1" t="s">
        <v>54</v>
      </c>
      <c r="I112" s="1" t="s">
        <v>21</v>
      </c>
      <c r="J112" s="1" t="s">
        <v>21</v>
      </c>
      <c r="K112">
        <v>1500</v>
      </c>
      <c r="L112">
        <v>4145</v>
      </c>
      <c r="M112">
        <v>0</v>
      </c>
    </row>
    <row r="113" spans="1:13" x14ac:dyDescent="0.35">
      <c r="A113" s="1" t="s">
        <v>497</v>
      </c>
      <c r="B113" s="1" t="s">
        <v>498</v>
      </c>
      <c r="C113" s="1" t="s">
        <v>499</v>
      </c>
      <c r="D113" s="1" t="s">
        <v>16</v>
      </c>
      <c r="E113" s="1" t="s">
        <v>32</v>
      </c>
      <c r="F113" s="1" t="s">
        <v>500</v>
      </c>
      <c r="G113" s="1" t="s">
        <v>126</v>
      </c>
      <c r="H113" s="1" t="s">
        <v>42</v>
      </c>
      <c r="I113" s="1" t="s">
        <v>21</v>
      </c>
      <c r="J113" s="1" t="s">
        <v>21</v>
      </c>
      <c r="K113">
        <v>0</v>
      </c>
      <c r="L113">
        <v>993</v>
      </c>
      <c r="M113">
        <v>0</v>
      </c>
    </row>
    <row r="114" spans="1:13" x14ac:dyDescent="0.35">
      <c r="A114" s="1" t="s">
        <v>501</v>
      </c>
      <c r="B114" s="1" t="s">
        <v>502</v>
      </c>
      <c r="C114" s="1" t="s">
        <v>503</v>
      </c>
      <c r="D114" s="1" t="s">
        <v>58</v>
      </c>
      <c r="E114" s="1" t="s">
        <v>52</v>
      </c>
      <c r="F114" s="1" t="s">
        <v>504</v>
      </c>
      <c r="G114" s="1" t="s">
        <v>126</v>
      </c>
      <c r="H114" s="1" t="s">
        <v>42</v>
      </c>
      <c r="I114" s="1" t="s">
        <v>505</v>
      </c>
      <c r="J114" s="1" t="s">
        <v>21</v>
      </c>
      <c r="K114">
        <v>6500</v>
      </c>
      <c r="L114">
        <v>4117</v>
      </c>
      <c r="M114">
        <v>0</v>
      </c>
    </row>
    <row r="115" spans="1:13" x14ac:dyDescent="0.35">
      <c r="A115" s="1" t="s">
        <v>506</v>
      </c>
      <c r="B115" s="1" t="s">
        <v>507</v>
      </c>
      <c r="C115" s="1" t="s">
        <v>508</v>
      </c>
      <c r="D115" s="1" t="s">
        <v>75</v>
      </c>
      <c r="E115" s="1" t="s">
        <v>94</v>
      </c>
      <c r="F115" s="1" t="s">
        <v>509</v>
      </c>
      <c r="G115" s="1" t="s">
        <v>41</v>
      </c>
      <c r="H115" s="1" t="s">
        <v>42</v>
      </c>
      <c r="I115" s="1" t="s">
        <v>21</v>
      </c>
      <c r="J115" s="1" t="s">
        <v>21</v>
      </c>
      <c r="K115">
        <v>1500</v>
      </c>
      <c r="L115">
        <v>4854</v>
      </c>
      <c r="M115">
        <v>0</v>
      </c>
    </row>
    <row r="116" spans="1:13" x14ac:dyDescent="0.35">
      <c r="A116" s="1" t="s">
        <v>510</v>
      </c>
      <c r="B116" s="1" t="s">
        <v>511</v>
      </c>
      <c r="C116" s="1" t="s">
        <v>512</v>
      </c>
      <c r="D116" s="1" t="s">
        <v>16</v>
      </c>
      <c r="E116" s="1" t="s">
        <v>39</v>
      </c>
      <c r="F116" s="1" t="s">
        <v>513</v>
      </c>
      <c r="G116" s="1" t="s">
        <v>19</v>
      </c>
      <c r="H116" s="1" t="s">
        <v>35</v>
      </c>
      <c r="I116" s="1" t="s">
        <v>21</v>
      </c>
      <c r="J116" s="1" t="s">
        <v>21</v>
      </c>
      <c r="K116">
        <v>7500</v>
      </c>
      <c r="L116">
        <v>3108</v>
      </c>
      <c r="M116">
        <v>0</v>
      </c>
    </row>
    <row r="117" spans="1:13" x14ac:dyDescent="0.35">
      <c r="A117" s="1" t="s">
        <v>514</v>
      </c>
      <c r="B117" s="1" t="s">
        <v>515</v>
      </c>
      <c r="C117" s="1" t="s">
        <v>516</v>
      </c>
      <c r="D117" s="1" t="s">
        <v>25</v>
      </c>
      <c r="E117" s="1" t="s">
        <v>52</v>
      </c>
      <c r="F117" s="1" t="s">
        <v>517</v>
      </c>
      <c r="G117" s="1" t="s">
        <v>41</v>
      </c>
      <c r="H117" s="1" t="s">
        <v>42</v>
      </c>
      <c r="I117" s="1" t="s">
        <v>138</v>
      </c>
      <c r="J117" s="1" t="s">
        <v>121</v>
      </c>
      <c r="K117">
        <v>6500</v>
      </c>
      <c r="L117">
        <v>1144</v>
      </c>
      <c r="M117">
        <v>1</v>
      </c>
    </row>
    <row r="118" spans="1:13" x14ac:dyDescent="0.35">
      <c r="A118" s="1" t="s">
        <v>518</v>
      </c>
      <c r="B118" s="1" t="s">
        <v>519</v>
      </c>
      <c r="C118" s="1" t="s">
        <v>520</v>
      </c>
      <c r="D118" s="1" t="s">
        <v>25</v>
      </c>
      <c r="E118" s="1" t="s">
        <v>94</v>
      </c>
      <c r="F118" s="1" t="s">
        <v>521</v>
      </c>
      <c r="G118" s="1" t="s">
        <v>41</v>
      </c>
      <c r="H118" s="1" t="s">
        <v>42</v>
      </c>
      <c r="I118" s="1" t="s">
        <v>21</v>
      </c>
      <c r="J118" s="1" t="s">
        <v>21</v>
      </c>
      <c r="K118">
        <v>1500</v>
      </c>
      <c r="L118">
        <v>1265</v>
      </c>
      <c r="M118">
        <v>0</v>
      </c>
    </row>
    <row r="119" spans="1:13" x14ac:dyDescent="0.35">
      <c r="A119" s="1" t="s">
        <v>522</v>
      </c>
      <c r="B119" s="1" t="s">
        <v>523</v>
      </c>
      <c r="C119" s="1" t="s">
        <v>524</v>
      </c>
      <c r="D119" s="1" t="s">
        <v>46</v>
      </c>
      <c r="E119" s="1" t="s">
        <v>52</v>
      </c>
      <c r="F119" s="1" t="s">
        <v>525</v>
      </c>
      <c r="G119" s="1" t="s">
        <v>41</v>
      </c>
      <c r="H119" s="1" t="s">
        <v>54</v>
      </c>
      <c r="I119" s="1" t="s">
        <v>138</v>
      </c>
      <c r="J119" s="1" t="s">
        <v>21</v>
      </c>
      <c r="K119">
        <v>6500</v>
      </c>
      <c r="L119">
        <v>2225</v>
      </c>
      <c r="M119">
        <v>0</v>
      </c>
    </row>
    <row r="120" spans="1:13" x14ac:dyDescent="0.35">
      <c r="A120" s="1" t="s">
        <v>526</v>
      </c>
      <c r="B120" s="1" t="s">
        <v>527</v>
      </c>
      <c r="C120" s="1" t="s">
        <v>528</v>
      </c>
      <c r="D120" s="1" t="s">
        <v>93</v>
      </c>
      <c r="E120" s="1" t="s">
        <v>17</v>
      </c>
      <c r="F120" s="1" t="s">
        <v>529</v>
      </c>
      <c r="G120" s="1" t="s">
        <v>34</v>
      </c>
      <c r="H120" s="1" t="s">
        <v>42</v>
      </c>
      <c r="I120" s="1" t="s">
        <v>21</v>
      </c>
      <c r="J120" s="1" t="s">
        <v>286</v>
      </c>
      <c r="K120">
        <v>2500</v>
      </c>
      <c r="L120">
        <v>4511</v>
      </c>
      <c r="M120">
        <v>0</v>
      </c>
    </row>
    <row r="121" spans="1:13" x14ac:dyDescent="0.35">
      <c r="A121" s="1" t="s">
        <v>530</v>
      </c>
      <c r="B121" s="1" t="s">
        <v>531</v>
      </c>
      <c r="C121" s="1" t="s">
        <v>532</v>
      </c>
      <c r="D121" s="1" t="s">
        <v>58</v>
      </c>
      <c r="E121" s="1" t="s">
        <v>39</v>
      </c>
      <c r="F121" s="1" t="s">
        <v>533</v>
      </c>
      <c r="G121" s="1" t="s">
        <v>126</v>
      </c>
      <c r="H121" s="1" t="s">
        <v>20</v>
      </c>
      <c r="I121" s="1" t="s">
        <v>21</v>
      </c>
      <c r="J121" s="1" t="s">
        <v>21</v>
      </c>
      <c r="K121">
        <v>7500</v>
      </c>
      <c r="L121">
        <v>1135</v>
      </c>
      <c r="M121">
        <v>0</v>
      </c>
    </row>
    <row r="122" spans="1:13" x14ac:dyDescent="0.35">
      <c r="A122" s="1" t="s">
        <v>534</v>
      </c>
      <c r="B122" s="1" t="s">
        <v>535</v>
      </c>
      <c r="C122" s="1" t="s">
        <v>536</v>
      </c>
      <c r="D122" s="1" t="s">
        <v>75</v>
      </c>
      <c r="E122" s="1" t="s">
        <v>94</v>
      </c>
      <c r="F122" s="1" t="s">
        <v>537</v>
      </c>
      <c r="G122" s="1" t="s">
        <v>195</v>
      </c>
      <c r="H122" s="1" t="s">
        <v>77</v>
      </c>
      <c r="I122" s="1" t="s">
        <v>21</v>
      </c>
      <c r="J122" s="1" t="s">
        <v>21</v>
      </c>
      <c r="K122">
        <v>1500</v>
      </c>
      <c r="L122">
        <v>2973</v>
      </c>
      <c r="M122">
        <v>0</v>
      </c>
    </row>
    <row r="123" spans="1:13" x14ac:dyDescent="0.35">
      <c r="A123" s="1" t="s">
        <v>538</v>
      </c>
      <c r="B123" s="1" t="s">
        <v>539</v>
      </c>
      <c r="C123" s="1" t="s">
        <v>540</v>
      </c>
      <c r="D123" s="1" t="s">
        <v>93</v>
      </c>
      <c r="E123" s="1" t="s">
        <v>39</v>
      </c>
      <c r="F123" s="1" t="s">
        <v>541</v>
      </c>
      <c r="G123" s="1" t="s">
        <v>65</v>
      </c>
      <c r="H123" s="1" t="s">
        <v>77</v>
      </c>
      <c r="I123" s="1" t="s">
        <v>21</v>
      </c>
      <c r="J123" s="1" t="s">
        <v>121</v>
      </c>
      <c r="M123">
        <v>0</v>
      </c>
    </row>
    <row r="124" spans="1:13" x14ac:dyDescent="0.35">
      <c r="A124" s="1" t="s">
        <v>21</v>
      </c>
      <c r="B124" s="1" t="s">
        <v>21</v>
      </c>
      <c r="C124" s="1" t="s">
        <v>542</v>
      </c>
      <c r="D124" s="1" t="s">
        <v>58</v>
      </c>
      <c r="E124" s="1" t="s">
        <v>32</v>
      </c>
      <c r="F124" s="1" t="s">
        <v>21</v>
      </c>
      <c r="G124" s="1" t="s">
        <v>21</v>
      </c>
      <c r="H124" s="1" t="s">
        <v>96</v>
      </c>
      <c r="I124" s="1" t="s">
        <v>21</v>
      </c>
      <c r="J124" s="1" t="s">
        <v>21</v>
      </c>
      <c r="M124">
        <v>0</v>
      </c>
    </row>
    <row r="125" spans="1:13" x14ac:dyDescent="0.35">
      <c r="A125" s="1" t="s">
        <v>543</v>
      </c>
      <c r="B125" s="1" t="s">
        <v>544</v>
      </c>
      <c r="C125" s="1" t="s">
        <v>545</v>
      </c>
      <c r="D125" s="1" t="s">
        <v>546</v>
      </c>
      <c r="E125" s="1" t="s">
        <v>52</v>
      </c>
      <c r="F125" s="1" t="s">
        <v>547</v>
      </c>
      <c r="G125" s="1" t="s">
        <v>41</v>
      </c>
      <c r="H125" s="1" t="s">
        <v>77</v>
      </c>
      <c r="I125" s="1" t="s">
        <v>291</v>
      </c>
      <c r="J125" s="1" t="s">
        <v>79</v>
      </c>
      <c r="K125">
        <v>6500</v>
      </c>
      <c r="L125">
        <v>4966</v>
      </c>
      <c r="M125">
        <v>0</v>
      </c>
    </row>
    <row r="126" spans="1:13" x14ac:dyDescent="0.35">
      <c r="A126" s="1" t="s">
        <v>548</v>
      </c>
      <c r="B126" s="1" t="s">
        <v>549</v>
      </c>
      <c r="C126" s="1" t="s">
        <v>550</v>
      </c>
      <c r="D126" s="1" t="s">
        <v>25</v>
      </c>
      <c r="E126" s="1" t="s">
        <v>17</v>
      </c>
      <c r="F126" s="1" t="s">
        <v>551</v>
      </c>
      <c r="G126" s="1" t="s">
        <v>65</v>
      </c>
      <c r="H126" s="1" t="s">
        <v>20</v>
      </c>
      <c r="I126" s="1" t="s">
        <v>21</v>
      </c>
      <c r="J126" s="1" t="s">
        <v>71</v>
      </c>
      <c r="K126">
        <v>2500</v>
      </c>
      <c r="L126">
        <v>1197</v>
      </c>
      <c r="M126">
        <v>0</v>
      </c>
    </row>
    <row r="127" spans="1:13" x14ac:dyDescent="0.35">
      <c r="A127" s="1" t="s">
        <v>552</v>
      </c>
      <c r="B127" s="1" t="s">
        <v>553</v>
      </c>
      <c r="C127" s="1" t="s">
        <v>554</v>
      </c>
      <c r="D127" s="1" t="s">
        <v>546</v>
      </c>
      <c r="E127" s="1" t="s">
        <v>52</v>
      </c>
      <c r="F127" s="1" t="s">
        <v>555</v>
      </c>
      <c r="G127" s="1" t="s">
        <v>65</v>
      </c>
      <c r="H127" s="1" t="s">
        <v>77</v>
      </c>
      <c r="I127" s="1" t="s">
        <v>291</v>
      </c>
      <c r="J127" s="1" t="s">
        <v>121</v>
      </c>
      <c r="K127">
        <v>6500</v>
      </c>
      <c r="L127">
        <v>4372</v>
      </c>
      <c r="M127">
        <v>1</v>
      </c>
    </row>
    <row r="128" spans="1:13" x14ac:dyDescent="0.35">
      <c r="A128" s="1" t="s">
        <v>556</v>
      </c>
      <c r="B128" s="1" t="s">
        <v>557</v>
      </c>
      <c r="C128" s="1" t="s">
        <v>558</v>
      </c>
      <c r="D128" s="1" t="s">
        <v>135</v>
      </c>
      <c r="E128" s="1" t="s">
        <v>17</v>
      </c>
      <c r="F128" s="1" t="s">
        <v>559</v>
      </c>
      <c r="G128" s="1" t="s">
        <v>485</v>
      </c>
      <c r="H128" s="1" t="s">
        <v>20</v>
      </c>
      <c r="I128" s="1" t="s">
        <v>21</v>
      </c>
      <c r="J128" s="1" t="s">
        <v>121</v>
      </c>
      <c r="K128">
        <v>2500</v>
      </c>
      <c r="L128">
        <v>3461</v>
      </c>
      <c r="M128">
        <v>0</v>
      </c>
    </row>
    <row r="129" spans="1:13" x14ac:dyDescent="0.35">
      <c r="A129" s="1" t="s">
        <v>560</v>
      </c>
      <c r="B129" s="1" t="s">
        <v>561</v>
      </c>
      <c r="C129" s="1" t="s">
        <v>562</v>
      </c>
      <c r="D129" s="1" t="s">
        <v>31</v>
      </c>
      <c r="E129" s="1" t="s">
        <v>17</v>
      </c>
      <c r="F129" s="1" t="s">
        <v>563</v>
      </c>
      <c r="G129" s="1" t="s">
        <v>65</v>
      </c>
      <c r="H129" s="1" t="s">
        <v>54</v>
      </c>
      <c r="I129" s="1" t="s">
        <v>21</v>
      </c>
      <c r="J129" s="1" t="s">
        <v>21</v>
      </c>
      <c r="K129">
        <v>2500</v>
      </c>
      <c r="L129">
        <v>76404</v>
      </c>
      <c r="M129">
        <v>0</v>
      </c>
    </row>
    <row r="130" spans="1:13" x14ac:dyDescent="0.35">
      <c r="A130" s="1" t="s">
        <v>564</v>
      </c>
      <c r="B130" s="1" t="s">
        <v>565</v>
      </c>
      <c r="C130" s="1" t="s">
        <v>566</v>
      </c>
      <c r="D130" s="1" t="s">
        <v>58</v>
      </c>
      <c r="E130" s="1" t="s">
        <v>32</v>
      </c>
      <c r="F130" s="1" t="s">
        <v>567</v>
      </c>
      <c r="G130" s="1" t="s">
        <v>264</v>
      </c>
      <c r="H130" s="1" t="s">
        <v>60</v>
      </c>
      <c r="I130" s="1" t="s">
        <v>21</v>
      </c>
      <c r="J130" s="1" t="s">
        <v>21</v>
      </c>
      <c r="L130">
        <v>3385</v>
      </c>
      <c r="M130">
        <v>1</v>
      </c>
    </row>
    <row r="131" spans="1:13" x14ac:dyDescent="0.35">
      <c r="A131" s="1" t="s">
        <v>568</v>
      </c>
      <c r="B131" s="1" t="s">
        <v>569</v>
      </c>
      <c r="C131" s="1" t="s">
        <v>570</v>
      </c>
      <c r="D131" s="1" t="s">
        <v>75</v>
      </c>
      <c r="E131" s="1" t="s">
        <v>52</v>
      </c>
      <c r="F131" s="1" t="s">
        <v>571</v>
      </c>
      <c r="G131" s="1" t="s">
        <v>126</v>
      </c>
      <c r="H131" s="1" t="s">
        <v>54</v>
      </c>
      <c r="I131" s="1" t="s">
        <v>505</v>
      </c>
      <c r="J131" s="1" t="s">
        <v>71</v>
      </c>
      <c r="K131">
        <v>6500</v>
      </c>
      <c r="L131">
        <v>2938</v>
      </c>
      <c r="M131">
        <v>0</v>
      </c>
    </row>
    <row r="132" spans="1:13" x14ac:dyDescent="0.35">
      <c r="A132" s="1" t="s">
        <v>572</v>
      </c>
      <c r="B132" s="1" t="s">
        <v>573</v>
      </c>
      <c r="C132" s="1" t="s">
        <v>574</v>
      </c>
      <c r="D132" s="1" t="s">
        <v>75</v>
      </c>
      <c r="E132" s="1" t="s">
        <v>17</v>
      </c>
      <c r="F132" s="1" t="s">
        <v>575</v>
      </c>
      <c r="G132" s="1" t="s">
        <v>126</v>
      </c>
      <c r="H132" s="1" t="s">
        <v>35</v>
      </c>
      <c r="I132" s="1" t="s">
        <v>21</v>
      </c>
      <c r="J132" s="1" t="s">
        <v>71</v>
      </c>
      <c r="K132">
        <v>2500</v>
      </c>
      <c r="L132">
        <v>2132</v>
      </c>
      <c r="M132">
        <v>0</v>
      </c>
    </row>
    <row r="133" spans="1:13" x14ac:dyDescent="0.35">
      <c r="A133" s="1" t="s">
        <v>576</v>
      </c>
      <c r="B133" s="1" t="s">
        <v>577</v>
      </c>
      <c r="C133" s="1" t="s">
        <v>578</v>
      </c>
      <c r="D133" s="1" t="s">
        <v>58</v>
      </c>
      <c r="E133" s="1" t="s">
        <v>32</v>
      </c>
      <c r="F133" s="1" t="s">
        <v>579</v>
      </c>
      <c r="G133" s="1" t="s">
        <v>48</v>
      </c>
      <c r="H133" s="1" t="s">
        <v>35</v>
      </c>
      <c r="I133" s="1" t="s">
        <v>21</v>
      </c>
      <c r="J133" s="1" t="s">
        <v>21</v>
      </c>
      <c r="K133">
        <v>0</v>
      </c>
      <c r="L133">
        <v>907</v>
      </c>
      <c r="M133">
        <v>0</v>
      </c>
    </row>
    <row r="134" spans="1:13" x14ac:dyDescent="0.35">
      <c r="A134" s="1" t="s">
        <v>580</v>
      </c>
      <c r="B134" s="1" t="s">
        <v>581</v>
      </c>
      <c r="C134" s="1" t="s">
        <v>582</v>
      </c>
      <c r="D134" s="1" t="s">
        <v>546</v>
      </c>
      <c r="E134" s="1" t="s">
        <v>94</v>
      </c>
      <c r="F134" s="1" t="s">
        <v>583</v>
      </c>
      <c r="G134" s="1" t="s">
        <v>137</v>
      </c>
      <c r="H134" s="1" t="s">
        <v>54</v>
      </c>
      <c r="I134" s="1" t="s">
        <v>21</v>
      </c>
      <c r="J134" s="1" t="s">
        <v>71</v>
      </c>
      <c r="K134">
        <v>1500</v>
      </c>
      <c r="L134">
        <v>991</v>
      </c>
      <c r="M134">
        <v>0</v>
      </c>
    </row>
    <row r="135" spans="1:13" x14ac:dyDescent="0.35">
      <c r="A135" s="1" t="s">
        <v>584</v>
      </c>
      <c r="B135" s="1" t="s">
        <v>585</v>
      </c>
      <c r="C135" s="1" t="s">
        <v>586</v>
      </c>
      <c r="D135" s="1" t="s">
        <v>135</v>
      </c>
      <c r="E135" s="1" t="s">
        <v>32</v>
      </c>
      <c r="F135" s="1" t="s">
        <v>587</v>
      </c>
      <c r="G135" s="1" t="s">
        <v>126</v>
      </c>
      <c r="H135" s="1" t="s">
        <v>96</v>
      </c>
      <c r="I135" s="1" t="s">
        <v>21</v>
      </c>
      <c r="J135" s="1" t="s">
        <v>79</v>
      </c>
      <c r="K135">
        <v>0</v>
      </c>
      <c r="L135">
        <v>4124</v>
      </c>
      <c r="M135">
        <v>0</v>
      </c>
    </row>
    <row r="136" spans="1:13" x14ac:dyDescent="0.35">
      <c r="A136" s="1" t="s">
        <v>588</v>
      </c>
      <c r="B136" s="1" t="s">
        <v>589</v>
      </c>
      <c r="C136" s="1" t="s">
        <v>590</v>
      </c>
      <c r="D136" s="1" t="s">
        <v>167</v>
      </c>
      <c r="E136" s="1" t="s">
        <v>32</v>
      </c>
      <c r="F136" s="1" t="s">
        <v>591</v>
      </c>
      <c r="G136" s="1" t="s">
        <v>41</v>
      </c>
      <c r="H136" s="1" t="s">
        <v>42</v>
      </c>
      <c r="I136" s="1" t="s">
        <v>21</v>
      </c>
      <c r="J136" s="1" t="s">
        <v>21</v>
      </c>
      <c r="K136">
        <v>0</v>
      </c>
      <c r="L136">
        <v>2792</v>
      </c>
      <c r="M136">
        <v>0</v>
      </c>
    </row>
    <row r="137" spans="1:13" x14ac:dyDescent="0.35">
      <c r="A137" s="1" t="s">
        <v>592</v>
      </c>
      <c r="B137" s="1" t="s">
        <v>593</v>
      </c>
      <c r="C137" s="1" t="s">
        <v>594</v>
      </c>
      <c r="D137" s="1" t="s">
        <v>58</v>
      </c>
      <c r="E137" s="1" t="s">
        <v>94</v>
      </c>
      <c r="F137" s="1" t="s">
        <v>595</v>
      </c>
      <c r="G137" s="1" t="s">
        <v>65</v>
      </c>
      <c r="H137" s="1" t="s">
        <v>77</v>
      </c>
      <c r="I137" s="1" t="s">
        <v>21</v>
      </c>
      <c r="J137" s="1" t="s">
        <v>21</v>
      </c>
      <c r="K137">
        <v>1500</v>
      </c>
      <c r="M137">
        <v>0</v>
      </c>
    </row>
    <row r="138" spans="1:13" x14ac:dyDescent="0.35">
      <c r="A138" s="1" t="s">
        <v>596</v>
      </c>
      <c r="B138" s="1" t="s">
        <v>597</v>
      </c>
      <c r="C138" s="1" t="s">
        <v>598</v>
      </c>
      <c r="D138" s="1" t="s">
        <v>58</v>
      </c>
      <c r="E138" s="1" t="s">
        <v>17</v>
      </c>
      <c r="F138" s="1" t="s">
        <v>599</v>
      </c>
      <c r="G138" s="1" t="s">
        <v>264</v>
      </c>
      <c r="H138" s="1" t="s">
        <v>60</v>
      </c>
      <c r="I138" s="1" t="s">
        <v>21</v>
      </c>
      <c r="J138" s="1" t="s">
        <v>21</v>
      </c>
      <c r="K138">
        <v>2500</v>
      </c>
      <c r="L138">
        <v>1311</v>
      </c>
      <c r="M138">
        <v>0</v>
      </c>
    </row>
    <row r="139" spans="1:13" x14ac:dyDescent="0.35">
      <c r="A139" s="1" t="s">
        <v>600</v>
      </c>
      <c r="B139" s="1" t="s">
        <v>601</v>
      </c>
      <c r="C139" s="1" t="s">
        <v>602</v>
      </c>
      <c r="D139" s="1" t="s">
        <v>58</v>
      </c>
      <c r="E139" s="1" t="s">
        <v>39</v>
      </c>
      <c r="F139" s="1" t="s">
        <v>603</v>
      </c>
      <c r="G139" s="1" t="s">
        <v>264</v>
      </c>
      <c r="H139" s="1" t="s">
        <v>20</v>
      </c>
      <c r="I139" s="1" t="s">
        <v>21</v>
      </c>
      <c r="J139" s="1" t="s">
        <v>21</v>
      </c>
      <c r="K139">
        <v>7500</v>
      </c>
      <c r="L139">
        <v>3364</v>
      </c>
      <c r="M139">
        <v>0</v>
      </c>
    </row>
    <row r="140" spans="1:13" x14ac:dyDescent="0.35">
      <c r="A140" s="1" t="s">
        <v>604</v>
      </c>
      <c r="B140" s="1" t="s">
        <v>605</v>
      </c>
      <c r="C140" s="1" t="s">
        <v>606</v>
      </c>
      <c r="D140" s="1" t="s">
        <v>25</v>
      </c>
      <c r="E140" s="1" t="s">
        <v>32</v>
      </c>
      <c r="F140" s="1" t="s">
        <v>607</v>
      </c>
      <c r="G140" s="1" t="s">
        <v>126</v>
      </c>
      <c r="H140" s="1" t="s">
        <v>35</v>
      </c>
      <c r="I140" s="1" t="s">
        <v>21</v>
      </c>
      <c r="J140" s="1" t="s">
        <v>121</v>
      </c>
      <c r="L140">
        <v>4719</v>
      </c>
      <c r="M140">
        <v>0</v>
      </c>
    </row>
    <row r="141" spans="1:13" x14ac:dyDescent="0.35">
      <c r="A141" s="1" t="s">
        <v>608</v>
      </c>
      <c r="B141" s="1" t="s">
        <v>609</v>
      </c>
      <c r="C141" s="1" t="s">
        <v>610</v>
      </c>
      <c r="D141" s="1" t="s">
        <v>58</v>
      </c>
      <c r="E141" s="1" t="s">
        <v>52</v>
      </c>
      <c r="F141" s="1" t="s">
        <v>611</v>
      </c>
      <c r="G141" s="1" t="s">
        <v>137</v>
      </c>
      <c r="H141" s="1" t="s">
        <v>35</v>
      </c>
      <c r="I141" s="1" t="s">
        <v>291</v>
      </c>
      <c r="J141" s="1" t="s">
        <v>21</v>
      </c>
      <c r="K141">
        <v>6500</v>
      </c>
      <c r="L141">
        <v>3061</v>
      </c>
      <c r="M141">
        <v>0</v>
      </c>
    </row>
    <row r="142" spans="1:13" x14ac:dyDescent="0.35">
      <c r="A142" s="1" t="s">
        <v>612</v>
      </c>
      <c r="B142" s="1" t="s">
        <v>613</v>
      </c>
      <c r="C142" s="1" t="s">
        <v>614</v>
      </c>
      <c r="D142" s="1" t="s">
        <v>135</v>
      </c>
      <c r="E142" s="1" t="s">
        <v>32</v>
      </c>
      <c r="F142" s="1" t="s">
        <v>615</v>
      </c>
      <c r="G142" s="1" t="s">
        <v>126</v>
      </c>
      <c r="H142" s="1" t="s">
        <v>77</v>
      </c>
      <c r="I142" s="1" t="s">
        <v>21</v>
      </c>
      <c r="J142" s="1" t="s">
        <v>286</v>
      </c>
      <c r="K142">
        <v>0</v>
      </c>
      <c r="L142">
        <v>2524</v>
      </c>
      <c r="M142">
        <v>1</v>
      </c>
    </row>
    <row r="143" spans="1:13" x14ac:dyDescent="0.35">
      <c r="A143" s="1" t="s">
        <v>616</v>
      </c>
      <c r="B143" s="1" t="s">
        <v>617</v>
      </c>
      <c r="C143" s="1" t="s">
        <v>618</v>
      </c>
      <c r="D143" s="1" t="s">
        <v>254</v>
      </c>
      <c r="E143" s="1" t="s">
        <v>17</v>
      </c>
      <c r="F143" s="1" t="s">
        <v>619</v>
      </c>
      <c r="G143" s="1" t="s">
        <v>126</v>
      </c>
      <c r="H143" s="1" t="s">
        <v>42</v>
      </c>
      <c r="I143" s="1" t="s">
        <v>21</v>
      </c>
      <c r="J143" s="1" t="s">
        <v>79</v>
      </c>
      <c r="K143">
        <v>2500</v>
      </c>
      <c r="L143">
        <v>794</v>
      </c>
      <c r="M143">
        <v>0</v>
      </c>
    </row>
    <row r="144" spans="1:13" x14ac:dyDescent="0.35">
      <c r="A144" s="1" t="s">
        <v>620</v>
      </c>
      <c r="B144" s="1" t="s">
        <v>621</v>
      </c>
      <c r="C144" s="1" t="s">
        <v>622</v>
      </c>
      <c r="D144" s="1" t="s">
        <v>58</v>
      </c>
      <c r="E144" s="1" t="s">
        <v>32</v>
      </c>
      <c r="F144" s="1" t="s">
        <v>623</v>
      </c>
      <c r="G144" s="1" t="s">
        <v>65</v>
      </c>
      <c r="H144" s="1" t="s">
        <v>42</v>
      </c>
      <c r="I144" s="1" t="s">
        <v>21</v>
      </c>
      <c r="J144" s="1" t="s">
        <v>21</v>
      </c>
      <c r="K144">
        <v>0</v>
      </c>
      <c r="L144">
        <v>4923</v>
      </c>
      <c r="M144">
        <v>1</v>
      </c>
    </row>
    <row r="145" spans="1:13" x14ac:dyDescent="0.35">
      <c r="A145" s="1" t="s">
        <v>624</v>
      </c>
      <c r="B145" s="1" t="s">
        <v>625</v>
      </c>
      <c r="C145" s="1" t="s">
        <v>626</v>
      </c>
      <c r="D145" s="1" t="s">
        <v>25</v>
      </c>
      <c r="E145" s="1" t="s">
        <v>39</v>
      </c>
      <c r="F145" s="1" t="s">
        <v>627</v>
      </c>
      <c r="G145" s="1" t="s">
        <v>41</v>
      </c>
      <c r="H145" s="1" t="s">
        <v>60</v>
      </c>
      <c r="I145" s="1" t="s">
        <v>21</v>
      </c>
      <c r="J145" s="1" t="s">
        <v>121</v>
      </c>
      <c r="K145">
        <v>7500</v>
      </c>
      <c r="M145">
        <v>0</v>
      </c>
    </row>
    <row r="146" spans="1:13" x14ac:dyDescent="0.35">
      <c r="A146" s="1" t="s">
        <v>628</v>
      </c>
      <c r="B146" s="1" t="s">
        <v>629</v>
      </c>
      <c r="C146" s="1" t="s">
        <v>630</v>
      </c>
      <c r="D146" s="1" t="s">
        <v>75</v>
      </c>
      <c r="E146" s="1" t="s">
        <v>39</v>
      </c>
      <c r="F146" s="1" t="s">
        <v>631</v>
      </c>
      <c r="G146" s="1" t="s">
        <v>65</v>
      </c>
      <c r="H146" s="1" t="s">
        <v>96</v>
      </c>
      <c r="I146" s="1" t="s">
        <v>21</v>
      </c>
      <c r="J146" s="1" t="s">
        <v>21</v>
      </c>
      <c r="L146">
        <v>2320</v>
      </c>
      <c r="M146">
        <v>0</v>
      </c>
    </row>
    <row r="147" spans="1:13" x14ac:dyDescent="0.35">
      <c r="A147" s="1" t="s">
        <v>21</v>
      </c>
      <c r="B147" s="1" t="s">
        <v>21</v>
      </c>
      <c r="C147" s="1" t="s">
        <v>632</v>
      </c>
      <c r="D147" s="1" t="s">
        <v>25</v>
      </c>
      <c r="E147" s="1" t="s">
        <v>39</v>
      </c>
      <c r="F147" s="1" t="s">
        <v>21</v>
      </c>
      <c r="G147" s="1" t="s">
        <v>21</v>
      </c>
      <c r="H147" s="1" t="s">
        <v>35</v>
      </c>
      <c r="I147" s="1" t="s">
        <v>21</v>
      </c>
      <c r="J147" s="1" t="s">
        <v>21</v>
      </c>
      <c r="M147">
        <v>0</v>
      </c>
    </row>
    <row r="148" spans="1:13" x14ac:dyDescent="0.35">
      <c r="A148" s="1" t="s">
        <v>633</v>
      </c>
      <c r="B148" s="1" t="s">
        <v>634</v>
      </c>
      <c r="C148" s="1" t="s">
        <v>635</v>
      </c>
      <c r="D148" s="1" t="s">
        <v>58</v>
      </c>
      <c r="E148" s="1" t="s">
        <v>17</v>
      </c>
      <c r="F148" s="1" t="s">
        <v>636</v>
      </c>
      <c r="G148" s="1" t="s">
        <v>126</v>
      </c>
      <c r="H148" s="1" t="s">
        <v>20</v>
      </c>
      <c r="I148" s="1" t="s">
        <v>21</v>
      </c>
      <c r="J148" s="1" t="s">
        <v>21</v>
      </c>
      <c r="K148">
        <v>2500</v>
      </c>
      <c r="L148">
        <v>2938</v>
      </c>
      <c r="M148">
        <v>0</v>
      </c>
    </row>
    <row r="149" spans="1:13" x14ac:dyDescent="0.35">
      <c r="A149" s="1" t="s">
        <v>637</v>
      </c>
      <c r="B149" s="1" t="s">
        <v>638</v>
      </c>
      <c r="C149" s="1" t="s">
        <v>639</v>
      </c>
      <c r="D149" s="1" t="s">
        <v>16</v>
      </c>
      <c r="E149" s="1" t="s">
        <v>32</v>
      </c>
      <c r="F149" s="1" t="s">
        <v>640</v>
      </c>
      <c r="G149" s="1" t="s">
        <v>19</v>
      </c>
      <c r="H149" s="1" t="s">
        <v>35</v>
      </c>
      <c r="I149" s="1" t="s">
        <v>21</v>
      </c>
      <c r="J149" s="1" t="s">
        <v>21</v>
      </c>
      <c r="K149">
        <v>0</v>
      </c>
      <c r="L149">
        <v>618</v>
      </c>
      <c r="M149">
        <v>0</v>
      </c>
    </row>
    <row r="150" spans="1:13" x14ac:dyDescent="0.35">
      <c r="A150" s="1" t="s">
        <v>641</v>
      </c>
      <c r="B150" s="1" t="s">
        <v>642</v>
      </c>
      <c r="C150" s="1" t="s">
        <v>643</v>
      </c>
      <c r="D150" s="1" t="s">
        <v>46</v>
      </c>
      <c r="E150" s="1" t="s">
        <v>94</v>
      </c>
      <c r="F150" s="1" t="s">
        <v>644</v>
      </c>
      <c r="G150" s="1" t="s">
        <v>485</v>
      </c>
      <c r="H150" s="1" t="s">
        <v>77</v>
      </c>
      <c r="I150" s="1" t="s">
        <v>21</v>
      </c>
      <c r="J150" s="1" t="s">
        <v>21</v>
      </c>
      <c r="K150">
        <v>1500</v>
      </c>
      <c r="L150">
        <v>1203</v>
      </c>
      <c r="M150">
        <v>0</v>
      </c>
    </row>
    <row r="151" spans="1:13" x14ac:dyDescent="0.35">
      <c r="A151" s="1" t="s">
        <v>645</v>
      </c>
      <c r="B151" s="1" t="s">
        <v>646</v>
      </c>
      <c r="C151" s="1" t="s">
        <v>647</v>
      </c>
      <c r="D151" s="1" t="s">
        <v>16</v>
      </c>
      <c r="E151" s="1" t="s">
        <v>94</v>
      </c>
      <c r="F151" s="1" t="s">
        <v>648</v>
      </c>
      <c r="G151" s="1" t="s">
        <v>65</v>
      </c>
      <c r="H151" s="1" t="s">
        <v>42</v>
      </c>
      <c r="I151" s="1" t="s">
        <v>21</v>
      </c>
      <c r="J151" s="1" t="s">
        <v>21</v>
      </c>
      <c r="K151">
        <v>1500</v>
      </c>
      <c r="L151">
        <v>2115</v>
      </c>
      <c r="M151">
        <v>0</v>
      </c>
    </row>
    <row r="152" spans="1:13" x14ac:dyDescent="0.35">
      <c r="A152" s="1" t="s">
        <v>649</v>
      </c>
      <c r="B152" s="1" t="s">
        <v>650</v>
      </c>
      <c r="C152" s="1" t="s">
        <v>651</v>
      </c>
      <c r="D152" s="1" t="s">
        <v>75</v>
      </c>
      <c r="E152" s="1" t="s">
        <v>17</v>
      </c>
      <c r="F152" s="1" t="s">
        <v>652</v>
      </c>
      <c r="G152" s="1" t="s">
        <v>381</v>
      </c>
      <c r="H152" s="1" t="s">
        <v>35</v>
      </c>
      <c r="I152" s="1" t="s">
        <v>21</v>
      </c>
      <c r="J152" s="1" t="s">
        <v>121</v>
      </c>
      <c r="K152">
        <v>2500</v>
      </c>
      <c r="L152">
        <v>4548</v>
      </c>
      <c r="M152">
        <v>0</v>
      </c>
    </row>
    <row r="153" spans="1:13" x14ac:dyDescent="0.35">
      <c r="A153" s="1" t="s">
        <v>653</v>
      </c>
      <c r="B153" s="1" t="s">
        <v>654</v>
      </c>
      <c r="C153" s="1" t="s">
        <v>655</v>
      </c>
      <c r="D153" s="1" t="s">
        <v>46</v>
      </c>
      <c r="E153" s="1" t="s">
        <v>32</v>
      </c>
      <c r="F153" s="1" t="s">
        <v>656</v>
      </c>
      <c r="G153" s="1" t="s">
        <v>381</v>
      </c>
      <c r="H153" s="1" t="s">
        <v>106</v>
      </c>
      <c r="I153" s="1" t="s">
        <v>21</v>
      </c>
      <c r="J153" s="1" t="s">
        <v>21</v>
      </c>
      <c r="K153">
        <v>0</v>
      </c>
      <c r="L153">
        <v>545</v>
      </c>
      <c r="M153">
        <v>0</v>
      </c>
    </row>
    <row r="154" spans="1:13" x14ac:dyDescent="0.35">
      <c r="A154" s="1" t="s">
        <v>657</v>
      </c>
      <c r="B154" s="1" t="s">
        <v>658</v>
      </c>
      <c r="C154" s="1" t="s">
        <v>659</v>
      </c>
      <c r="D154" s="1" t="s">
        <v>58</v>
      </c>
      <c r="E154" s="1" t="s">
        <v>32</v>
      </c>
      <c r="F154" s="1" t="s">
        <v>660</v>
      </c>
      <c r="G154" s="1" t="s">
        <v>126</v>
      </c>
      <c r="H154" s="1" t="s">
        <v>60</v>
      </c>
      <c r="I154" s="1" t="s">
        <v>21</v>
      </c>
      <c r="J154" s="1" t="s">
        <v>21</v>
      </c>
      <c r="K154">
        <v>0</v>
      </c>
      <c r="L154">
        <v>3578</v>
      </c>
      <c r="M154">
        <v>0</v>
      </c>
    </row>
    <row r="155" spans="1:13" x14ac:dyDescent="0.35">
      <c r="A155" s="1" t="s">
        <v>661</v>
      </c>
      <c r="B155" s="1" t="s">
        <v>662</v>
      </c>
      <c r="C155" s="1" t="s">
        <v>663</v>
      </c>
      <c r="D155" s="1" t="s">
        <v>75</v>
      </c>
      <c r="E155" s="1" t="s">
        <v>94</v>
      </c>
      <c r="F155" s="1" t="s">
        <v>664</v>
      </c>
      <c r="G155" s="1" t="s">
        <v>126</v>
      </c>
      <c r="H155" s="1" t="s">
        <v>42</v>
      </c>
      <c r="I155" s="1" t="s">
        <v>21</v>
      </c>
      <c r="J155" s="1" t="s">
        <v>21</v>
      </c>
      <c r="K155">
        <v>1500</v>
      </c>
      <c r="L155">
        <v>4635</v>
      </c>
      <c r="M155">
        <v>0</v>
      </c>
    </row>
    <row r="156" spans="1:13" x14ac:dyDescent="0.35">
      <c r="A156" s="1" t="s">
        <v>665</v>
      </c>
      <c r="B156" s="1" t="s">
        <v>666</v>
      </c>
      <c r="C156" s="1" t="s">
        <v>667</v>
      </c>
      <c r="D156" s="1" t="s">
        <v>58</v>
      </c>
      <c r="E156" s="1" t="s">
        <v>32</v>
      </c>
      <c r="F156" s="1" t="s">
        <v>668</v>
      </c>
      <c r="G156" s="1" t="s">
        <v>126</v>
      </c>
      <c r="H156" s="1" t="s">
        <v>77</v>
      </c>
      <c r="I156" s="1" t="s">
        <v>21</v>
      </c>
      <c r="J156" s="1" t="s">
        <v>21</v>
      </c>
      <c r="K156">
        <v>0</v>
      </c>
      <c r="L156">
        <v>2692</v>
      </c>
      <c r="M156">
        <v>0</v>
      </c>
    </row>
    <row r="157" spans="1:13" x14ac:dyDescent="0.35">
      <c r="A157" s="1" t="s">
        <v>669</v>
      </c>
      <c r="B157" s="1" t="s">
        <v>670</v>
      </c>
      <c r="C157" s="1" t="s">
        <v>671</v>
      </c>
      <c r="D157" s="1" t="s">
        <v>16</v>
      </c>
      <c r="E157" s="1" t="s">
        <v>94</v>
      </c>
      <c r="F157" s="1" t="s">
        <v>672</v>
      </c>
      <c r="G157" s="1" t="s">
        <v>34</v>
      </c>
      <c r="H157" s="1" t="s">
        <v>35</v>
      </c>
      <c r="I157" s="1" t="s">
        <v>21</v>
      </c>
      <c r="J157" s="1" t="s">
        <v>21</v>
      </c>
      <c r="K157">
        <v>1500</v>
      </c>
      <c r="L157">
        <v>2872</v>
      </c>
      <c r="M157">
        <v>0</v>
      </c>
    </row>
    <row r="158" spans="1:13" x14ac:dyDescent="0.35">
      <c r="A158" s="1" t="s">
        <v>673</v>
      </c>
      <c r="B158" s="1" t="s">
        <v>674</v>
      </c>
      <c r="C158" s="1" t="s">
        <v>675</v>
      </c>
      <c r="D158" s="1" t="s">
        <v>25</v>
      </c>
      <c r="E158" s="1" t="s">
        <v>94</v>
      </c>
      <c r="F158" s="1" t="s">
        <v>676</v>
      </c>
      <c r="G158" s="1" t="s">
        <v>19</v>
      </c>
      <c r="H158" s="1" t="s">
        <v>20</v>
      </c>
      <c r="I158" s="1" t="s">
        <v>21</v>
      </c>
      <c r="J158" s="1" t="s">
        <v>79</v>
      </c>
      <c r="K158">
        <v>1500</v>
      </c>
      <c r="L158">
        <v>4324</v>
      </c>
      <c r="M158">
        <v>0</v>
      </c>
    </row>
    <row r="159" spans="1:13" x14ac:dyDescent="0.35">
      <c r="A159" s="1" t="s">
        <v>677</v>
      </c>
      <c r="B159" s="1" t="s">
        <v>678</v>
      </c>
      <c r="C159" s="1" t="s">
        <v>679</v>
      </c>
      <c r="D159" s="1" t="s">
        <v>254</v>
      </c>
      <c r="E159" s="1" t="s">
        <v>39</v>
      </c>
      <c r="F159" s="1" t="s">
        <v>680</v>
      </c>
      <c r="G159" s="1" t="s">
        <v>137</v>
      </c>
      <c r="H159" s="1" t="s">
        <v>60</v>
      </c>
      <c r="I159" s="1" t="s">
        <v>21</v>
      </c>
      <c r="J159" s="1" t="s">
        <v>79</v>
      </c>
      <c r="K159">
        <v>7500</v>
      </c>
      <c r="L159">
        <v>4145</v>
      </c>
      <c r="M159">
        <v>0</v>
      </c>
    </row>
    <row r="160" spans="1:13" x14ac:dyDescent="0.35">
      <c r="A160" s="1" t="s">
        <v>21</v>
      </c>
      <c r="B160" s="1" t="s">
        <v>21</v>
      </c>
      <c r="C160" s="1" t="s">
        <v>681</v>
      </c>
      <c r="D160" s="1" t="s">
        <v>75</v>
      </c>
      <c r="E160" s="1" t="s">
        <v>52</v>
      </c>
      <c r="F160" s="1" t="s">
        <v>21</v>
      </c>
      <c r="G160" s="1" t="s">
        <v>21</v>
      </c>
      <c r="H160" s="1" t="s">
        <v>106</v>
      </c>
      <c r="I160" s="1" t="s">
        <v>21</v>
      </c>
      <c r="J160" s="1" t="s">
        <v>21</v>
      </c>
      <c r="M160">
        <v>0</v>
      </c>
    </row>
    <row r="161" spans="1:13" x14ac:dyDescent="0.35">
      <c r="A161" s="1" t="s">
        <v>682</v>
      </c>
      <c r="B161" s="1" t="s">
        <v>683</v>
      </c>
      <c r="C161" s="1" t="s">
        <v>684</v>
      </c>
      <c r="D161" s="1" t="s">
        <v>25</v>
      </c>
      <c r="E161" s="1" t="s">
        <v>32</v>
      </c>
      <c r="F161" s="1" t="s">
        <v>685</v>
      </c>
      <c r="G161" s="1" t="s">
        <v>65</v>
      </c>
      <c r="H161" s="1" t="s">
        <v>20</v>
      </c>
      <c r="I161" s="1" t="s">
        <v>21</v>
      </c>
      <c r="J161" s="1" t="s">
        <v>21</v>
      </c>
      <c r="K161">
        <v>0</v>
      </c>
      <c r="L161">
        <v>1384</v>
      </c>
      <c r="M161">
        <v>0</v>
      </c>
    </row>
    <row r="162" spans="1:13" x14ac:dyDescent="0.35">
      <c r="A162" s="1" t="s">
        <v>686</v>
      </c>
      <c r="B162" s="1" t="s">
        <v>687</v>
      </c>
      <c r="C162" s="1" t="s">
        <v>688</v>
      </c>
      <c r="D162" s="1" t="s">
        <v>58</v>
      </c>
      <c r="E162" s="1" t="s">
        <v>52</v>
      </c>
      <c r="F162" s="1" t="s">
        <v>689</v>
      </c>
      <c r="G162" s="1" t="s">
        <v>27</v>
      </c>
      <c r="H162" s="1" t="s">
        <v>77</v>
      </c>
      <c r="I162" s="1" t="s">
        <v>131</v>
      </c>
      <c r="J162" s="1" t="s">
        <v>21</v>
      </c>
      <c r="K162">
        <v>6500</v>
      </c>
      <c r="L162">
        <v>3732</v>
      </c>
      <c r="M162">
        <v>0</v>
      </c>
    </row>
    <row r="163" spans="1:13" x14ac:dyDescent="0.35">
      <c r="A163" s="1" t="s">
        <v>21</v>
      </c>
      <c r="B163" s="1" t="s">
        <v>21</v>
      </c>
      <c r="C163" s="1" t="s">
        <v>690</v>
      </c>
      <c r="D163" s="1" t="s">
        <v>58</v>
      </c>
      <c r="E163" s="1" t="s">
        <v>52</v>
      </c>
      <c r="F163" s="1" t="s">
        <v>21</v>
      </c>
      <c r="G163" s="1" t="s">
        <v>21</v>
      </c>
      <c r="H163" s="1" t="s">
        <v>54</v>
      </c>
      <c r="I163" s="1" t="s">
        <v>21</v>
      </c>
      <c r="J163" s="1" t="s">
        <v>21</v>
      </c>
      <c r="M163">
        <v>0</v>
      </c>
    </row>
    <row r="164" spans="1:13" x14ac:dyDescent="0.35">
      <c r="A164" s="1" t="s">
        <v>691</v>
      </c>
      <c r="B164" s="1" t="s">
        <v>692</v>
      </c>
      <c r="C164" s="1" t="s">
        <v>693</v>
      </c>
      <c r="D164" s="1" t="s">
        <v>16</v>
      </c>
      <c r="E164" s="1" t="s">
        <v>17</v>
      </c>
      <c r="F164" s="1" t="s">
        <v>694</v>
      </c>
      <c r="G164" s="1" t="s">
        <v>41</v>
      </c>
      <c r="H164" s="1" t="s">
        <v>20</v>
      </c>
      <c r="I164" s="1" t="s">
        <v>21</v>
      </c>
      <c r="J164" s="1" t="s">
        <v>21</v>
      </c>
      <c r="K164">
        <v>2500</v>
      </c>
      <c r="L164">
        <v>1300</v>
      </c>
      <c r="M164">
        <v>0</v>
      </c>
    </row>
    <row r="165" spans="1:13" x14ac:dyDescent="0.35">
      <c r="A165" s="1" t="s">
        <v>695</v>
      </c>
      <c r="B165" s="1" t="s">
        <v>696</v>
      </c>
      <c r="C165" s="1" t="s">
        <v>697</v>
      </c>
      <c r="D165" s="1" t="s">
        <v>284</v>
      </c>
      <c r="E165" s="1" t="s">
        <v>39</v>
      </c>
      <c r="F165" s="1" t="s">
        <v>698</v>
      </c>
      <c r="G165" s="1" t="s">
        <v>126</v>
      </c>
      <c r="H165" s="1" t="s">
        <v>35</v>
      </c>
      <c r="I165" s="1" t="s">
        <v>21</v>
      </c>
      <c r="J165" s="1" t="s">
        <v>71</v>
      </c>
      <c r="K165">
        <v>7500</v>
      </c>
      <c r="L165">
        <v>4550</v>
      </c>
      <c r="M165">
        <v>0</v>
      </c>
    </row>
    <row r="166" spans="1:13" x14ac:dyDescent="0.35">
      <c r="A166" s="1" t="s">
        <v>699</v>
      </c>
      <c r="B166" s="1" t="s">
        <v>700</v>
      </c>
      <c r="C166" s="1" t="s">
        <v>701</v>
      </c>
      <c r="D166" s="1" t="s">
        <v>75</v>
      </c>
      <c r="E166" s="1" t="s">
        <v>32</v>
      </c>
      <c r="F166" s="1" t="s">
        <v>702</v>
      </c>
      <c r="G166" s="1" t="s">
        <v>126</v>
      </c>
      <c r="H166" s="1" t="s">
        <v>106</v>
      </c>
      <c r="I166" s="1" t="s">
        <v>21</v>
      </c>
      <c r="J166" s="1" t="s">
        <v>71</v>
      </c>
      <c r="K166">
        <v>0</v>
      </c>
      <c r="L166">
        <v>737</v>
      </c>
      <c r="M166">
        <v>0</v>
      </c>
    </row>
    <row r="167" spans="1:13" x14ac:dyDescent="0.35">
      <c r="A167" s="1" t="s">
        <v>703</v>
      </c>
      <c r="B167" s="1" t="s">
        <v>704</v>
      </c>
      <c r="C167" s="1" t="s">
        <v>705</v>
      </c>
      <c r="D167" s="1" t="s">
        <v>75</v>
      </c>
      <c r="E167" s="1" t="s">
        <v>39</v>
      </c>
      <c r="F167" s="1" t="s">
        <v>706</v>
      </c>
      <c r="G167" s="1" t="s">
        <v>19</v>
      </c>
      <c r="H167" s="1" t="s">
        <v>42</v>
      </c>
      <c r="I167" s="1" t="s">
        <v>21</v>
      </c>
      <c r="J167" s="1" t="s">
        <v>286</v>
      </c>
      <c r="K167">
        <v>7500</v>
      </c>
      <c r="L167">
        <v>589</v>
      </c>
      <c r="M167">
        <v>0</v>
      </c>
    </row>
    <row r="168" spans="1:13" x14ac:dyDescent="0.35">
      <c r="A168" s="1" t="s">
        <v>707</v>
      </c>
      <c r="B168" s="1" t="s">
        <v>708</v>
      </c>
      <c r="C168" s="1" t="s">
        <v>709</v>
      </c>
      <c r="D168" s="1" t="s">
        <v>75</v>
      </c>
      <c r="E168" s="1" t="s">
        <v>32</v>
      </c>
      <c r="F168" s="1" t="s">
        <v>710</v>
      </c>
      <c r="G168" s="1" t="s">
        <v>41</v>
      </c>
      <c r="H168" s="1" t="s">
        <v>106</v>
      </c>
      <c r="I168" s="1" t="s">
        <v>21</v>
      </c>
      <c r="J168" s="1" t="s">
        <v>79</v>
      </c>
      <c r="K168">
        <v>0</v>
      </c>
      <c r="L168">
        <v>2464</v>
      </c>
      <c r="M168">
        <v>0</v>
      </c>
    </row>
    <row r="169" spans="1:13" x14ac:dyDescent="0.35">
      <c r="A169" s="1" t="s">
        <v>711</v>
      </c>
      <c r="B169" s="1" t="s">
        <v>712</v>
      </c>
      <c r="C169" s="1" t="s">
        <v>713</v>
      </c>
      <c r="D169" s="1" t="s">
        <v>110</v>
      </c>
      <c r="E169" s="1" t="s">
        <v>94</v>
      </c>
      <c r="F169" s="1" t="s">
        <v>714</v>
      </c>
      <c r="G169" s="1" t="s">
        <v>41</v>
      </c>
      <c r="H169" s="1" t="s">
        <v>20</v>
      </c>
      <c r="I169" s="1" t="s">
        <v>21</v>
      </c>
      <c r="J169" s="1" t="s">
        <v>21</v>
      </c>
      <c r="K169">
        <v>1500</v>
      </c>
      <c r="L169">
        <v>3470</v>
      </c>
      <c r="M169">
        <v>0</v>
      </c>
    </row>
    <row r="170" spans="1:13" x14ac:dyDescent="0.35">
      <c r="A170" s="1" t="s">
        <v>715</v>
      </c>
      <c r="B170" s="1" t="s">
        <v>716</v>
      </c>
      <c r="C170" s="1" t="s">
        <v>717</v>
      </c>
      <c r="D170" s="1" t="s">
        <v>25</v>
      </c>
      <c r="E170" s="1" t="s">
        <v>52</v>
      </c>
      <c r="F170" s="1" t="s">
        <v>718</v>
      </c>
      <c r="G170" s="1" t="s">
        <v>41</v>
      </c>
      <c r="H170" s="1" t="s">
        <v>20</v>
      </c>
      <c r="I170" s="1" t="s">
        <v>291</v>
      </c>
      <c r="J170" s="1" t="s">
        <v>121</v>
      </c>
      <c r="K170">
        <v>6500</v>
      </c>
      <c r="L170">
        <v>4046</v>
      </c>
      <c r="M170">
        <v>0</v>
      </c>
    </row>
    <row r="171" spans="1:13" x14ac:dyDescent="0.35">
      <c r="A171" s="1" t="s">
        <v>719</v>
      </c>
      <c r="B171" s="1" t="s">
        <v>720</v>
      </c>
      <c r="C171" s="1" t="s">
        <v>721</v>
      </c>
      <c r="D171" s="1" t="s">
        <v>75</v>
      </c>
      <c r="E171" s="1" t="s">
        <v>39</v>
      </c>
      <c r="F171" s="1" t="s">
        <v>722</v>
      </c>
      <c r="G171" s="1" t="s">
        <v>41</v>
      </c>
      <c r="H171" s="1" t="s">
        <v>54</v>
      </c>
      <c r="I171" s="1" t="s">
        <v>21</v>
      </c>
      <c r="J171" s="1" t="s">
        <v>79</v>
      </c>
      <c r="K171">
        <v>7500</v>
      </c>
      <c r="L171">
        <v>2553</v>
      </c>
      <c r="M171">
        <v>0</v>
      </c>
    </row>
    <row r="172" spans="1:13" x14ac:dyDescent="0.35">
      <c r="A172" s="1" t="s">
        <v>723</v>
      </c>
      <c r="B172" s="1" t="s">
        <v>724</v>
      </c>
      <c r="C172" s="1" t="s">
        <v>725</v>
      </c>
      <c r="D172" s="1" t="s">
        <v>58</v>
      </c>
      <c r="E172" s="1" t="s">
        <v>32</v>
      </c>
      <c r="F172" s="1" t="s">
        <v>726</v>
      </c>
      <c r="G172" s="1" t="s">
        <v>126</v>
      </c>
      <c r="H172" s="1" t="s">
        <v>35</v>
      </c>
      <c r="I172" s="1" t="s">
        <v>21</v>
      </c>
      <c r="J172" s="1" t="s">
        <v>21</v>
      </c>
      <c r="K172">
        <v>0</v>
      </c>
      <c r="L172">
        <v>4170</v>
      </c>
      <c r="M172">
        <v>0</v>
      </c>
    </row>
    <row r="173" spans="1:13" x14ac:dyDescent="0.35">
      <c r="A173" s="1" t="s">
        <v>727</v>
      </c>
      <c r="B173" s="1" t="s">
        <v>728</v>
      </c>
      <c r="C173" s="1" t="s">
        <v>729</v>
      </c>
      <c r="D173" s="1" t="s">
        <v>16</v>
      </c>
      <c r="E173" s="1" t="s">
        <v>32</v>
      </c>
      <c r="F173" s="1" t="s">
        <v>730</v>
      </c>
      <c r="G173" s="1" t="s">
        <v>126</v>
      </c>
      <c r="H173" s="1" t="s">
        <v>96</v>
      </c>
      <c r="I173" s="1" t="s">
        <v>21</v>
      </c>
      <c r="J173" s="1" t="s">
        <v>21</v>
      </c>
      <c r="K173">
        <v>0</v>
      </c>
      <c r="L173">
        <v>3304</v>
      </c>
      <c r="M173">
        <v>0</v>
      </c>
    </row>
    <row r="174" spans="1:13" x14ac:dyDescent="0.35">
      <c r="A174" s="1" t="s">
        <v>731</v>
      </c>
      <c r="B174" s="1" t="s">
        <v>732</v>
      </c>
      <c r="C174" s="1" t="s">
        <v>733</v>
      </c>
      <c r="D174" s="1" t="s">
        <v>16</v>
      </c>
      <c r="E174" s="1" t="s">
        <v>52</v>
      </c>
      <c r="F174" s="1" t="s">
        <v>734</v>
      </c>
      <c r="G174" s="1" t="s">
        <v>41</v>
      </c>
      <c r="H174" s="1" t="s">
        <v>35</v>
      </c>
      <c r="I174" s="1" t="s">
        <v>131</v>
      </c>
      <c r="J174" s="1" t="s">
        <v>21</v>
      </c>
      <c r="K174">
        <v>6500</v>
      </c>
      <c r="M174">
        <v>0</v>
      </c>
    </row>
    <row r="175" spans="1:13" x14ac:dyDescent="0.35">
      <c r="A175" s="1" t="s">
        <v>735</v>
      </c>
      <c r="B175" s="1" t="s">
        <v>736</v>
      </c>
      <c r="C175" s="1" t="s">
        <v>737</v>
      </c>
      <c r="D175" s="1" t="s">
        <v>75</v>
      </c>
      <c r="E175" s="1" t="s">
        <v>52</v>
      </c>
      <c r="F175" s="1" t="s">
        <v>738</v>
      </c>
      <c r="G175" s="1" t="s">
        <v>126</v>
      </c>
      <c r="H175" s="1" t="s">
        <v>106</v>
      </c>
      <c r="I175" s="1" t="s">
        <v>112</v>
      </c>
      <c r="J175" s="1" t="s">
        <v>79</v>
      </c>
      <c r="K175">
        <v>6500</v>
      </c>
      <c r="L175">
        <v>2209</v>
      </c>
      <c r="M175">
        <v>0</v>
      </c>
    </row>
    <row r="176" spans="1:13" x14ac:dyDescent="0.35">
      <c r="A176" s="1" t="s">
        <v>739</v>
      </c>
      <c r="B176" s="1" t="s">
        <v>740</v>
      </c>
      <c r="C176" s="1" t="s">
        <v>741</v>
      </c>
      <c r="D176" s="1" t="s">
        <v>16</v>
      </c>
      <c r="E176" s="1" t="s">
        <v>94</v>
      </c>
      <c r="F176" s="1" t="s">
        <v>742</v>
      </c>
      <c r="G176" s="1" t="s">
        <v>105</v>
      </c>
      <c r="H176" s="1" t="s">
        <v>77</v>
      </c>
      <c r="I176" s="1" t="s">
        <v>21</v>
      </c>
      <c r="J176" s="1" t="s">
        <v>21</v>
      </c>
      <c r="K176">
        <v>1500</v>
      </c>
      <c r="L176">
        <v>500</v>
      </c>
      <c r="M176">
        <v>0</v>
      </c>
    </row>
    <row r="177" spans="1:13" x14ac:dyDescent="0.35">
      <c r="A177" s="1" t="s">
        <v>743</v>
      </c>
      <c r="B177" s="1" t="s">
        <v>744</v>
      </c>
      <c r="C177" s="1" t="s">
        <v>745</v>
      </c>
      <c r="D177" s="1" t="s">
        <v>16</v>
      </c>
      <c r="E177" s="1" t="s">
        <v>52</v>
      </c>
      <c r="F177" s="1" t="s">
        <v>746</v>
      </c>
      <c r="G177" s="1" t="s">
        <v>48</v>
      </c>
      <c r="H177" s="1" t="s">
        <v>54</v>
      </c>
      <c r="I177" s="1" t="s">
        <v>131</v>
      </c>
      <c r="J177" s="1" t="s">
        <v>21</v>
      </c>
      <c r="K177">
        <v>6500</v>
      </c>
      <c r="L177">
        <v>1973</v>
      </c>
      <c r="M177">
        <v>1</v>
      </c>
    </row>
    <row r="178" spans="1:13" x14ac:dyDescent="0.35">
      <c r="A178" s="1" t="s">
        <v>21</v>
      </c>
      <c r="B178" s="1" t="s">
        <v>21</v>
      </c>
      <c r="C178" s="1" t="s">
        <v>747</v>
      </c>
      <c r="D178" s="1" t="s">
        <v>75</v>
      </c>
      <c r="E178" s="1" t="s">
        <v>52</v>
      </c>
      <c r="F178" s="1" t="s">
        <v>21</v>
      </c>
      <c r="G178" s="1" t="s">
        <v>21</v>
      </c>
      <c r="H178" s="1" t="s">
        <v>54</v>
      </c>
      <c r="I178" s="1" t="s">
        <v>21</v>
      </c>
      <c r="J178" s="1" t="s">
        <v>21</v>
      </c>
      <c r="M178">
        <v>0</v>
      </c>
    </row>
    <row r="179" spans="1:13" x14ac:dyDescent="0.35">
      <c r="A179" s="1" t="s">
        <v>748</v>
      </c>
      <c r="B179" s="1" t="s">
        <v>749</v>
      </c>
      <c r="C179" s="1" t="s">
        <v>750</v>
      </c>
      <c r="D179" s="1" t="s">
        <v>16</v>
      </c>
      <c r="E179" s="1" t="s">
        <v>94</v>
      </c>
      <c r="F179" s="1" t="s">
        <v>751</v>
      </c>
      <c r="G179" s="1" t="s">
        <v>65</v>
      </c>
      <c r="H179" s="1" t="s">
        <v>20</v>
      </c>
      <c r="I179" s="1" t="s">
        <v>21</v>
      </c>
      <c r="J179" s="1" t="s">
        <v>21</v>
      </c>
      <c r="K179">
        <v>1500</v>
      </c>
      <c r="L179">
        <v>4160</v>
      </c>
      <c r="M179">
        <v>0</v>
      </c>
    </row>
    <row r="180" spans="1:13" x14ac:dyDescent="0.35">
      <c r="A180" s="1" t="s">
        <v>752</v>
      </c>
      <c r="B180" s="1" t="s">
        <v>753</v>
      </c>
      <c r="C180" s="1" t="s">
        <v>754</v>
      </c>
      <c r="D180" s="1" t="s">
        <v>284</v>
      </c>
      <c r="E180" s="1" t="s">
        <v>52</v>
      </c>
      <c r="F180" s="1" t="s">
        <v>755</v>
      </c>
      <c r="G180" s="1" t="s">
        <v>41</v>
      </c>
      <c r="H180" s="1" t="s">
        <v>20</v>
      </c>
      <c r="I180" s="1" t="s">
        <v>66</v>
      </c>
      <c r="J180" s="1" t="s">
        <v>71</v>
      </c>
      <c r="K180">
        <v>6500</v>
      </c>
      <c r="L180">
        <v>2455</v>
      </c>
      <c r="M180">
        <v>0</v>
      </c>
    </row>
    <row r="181" spans="1:13" x14ac:dyDescent="0.35">
      <c r="A181" s="1" t="s">
        <v>756</v>
      </c>
      <c r="B181" s="1" t="s">
        <v>757</v>
      </c>
      <c r="C181" s="1" t="s">
        <v>758</v>
      </c>
      <c r="D181" s="1" t="s">
        <v>25</v>
      </c>
      <c r="E181" s="1" t="s">
        <v>39</v>
      </c>
      <c r="F181" s="1" t="s">
        <v>759</v>
      </c>
      <c r="G181" s="1" t="s">
        <v>65</v>
      </c>
      <c r="H181" s="1" t="s">
        <v>60</v>
      </c>
      <c r="I181" s="1" t="s">
        <v>21</v>
      </c>
      <c r="J181" s="1" t="s">
        <v>21</v>
      </c>
      <c r="K181">
        <v>7500</v>
      </c>
      <c r="L181">
        <v>1183</v>
      </c>
      <c r="M181">
        <v>0</v>
      </c>
    </row>
    <row r="182" spans="1:13" x14ac:dyDescent="0.35">
      <c r="A182" s="1" t="s">
        <v>760</v>
      </c>
      <c r="B182" s="1" t="s">
        <v>761</v>
      </c>
      <c r="C182" s="1" t="s">
        <v>762</v>
      </c>
      <c r="D182" s="1" t="s">
        <v>16</v>
      </c>
      <c r="E182" s="1" t="s">
        <v>39</v>
      </c>
      <c r="F182" s="1" t="s">
        <v>763</v>
      </c>
      <c r="G182" s="1" t="s">
        <v>41</v>
      </c>
      <c r="H182" s="1" t="s">
        <v>20</v>
      </c>
      <c r="I182" s="1" t="s">
        <v>21</v>
      </c>
      <c r="J182" s="1" t="s">
        <v>21</v>
      </c>
      <c r="K182">
        <v>7500</v>
      </c>
      <c r="L182">
        <v>2549</v>
      </c>
      <c r="M182">
        <v>0</v>
      </c>
    </row>
    <row r="183" spans="1:13" x14ac:dyDescent="0.35">
      <c r="A183" s="1" t="s">
        <v>764</v>
      </c>
      <c r="B183" s="1" t="s">
        <v>765</v>
      </c>
      <c r="C183" s="1" t="s">
        <v>766</v>
      </c>
      <c r="D183" s="1" t="s">
        <v>546</v>
      </c>
      <c r="E183" s="1" t="s">
        <v>39</v>
      </c>
      <c r="F183" s="1" t="s">
        <v>767</v>
      </c>
      <c r="G183" s="1" t="s">
        <v>65</v>
      </c>
      <c r="H183" s="1" t="s">
        <v>42</v>
      </c>
      <c r="I183" s="1" t="s">
        <v>21</v>
      </c>
      <c r="J183" s="1" t="s">
        <v>21</v>
      </c>
      <c r="K183">
        <v>7500</v>
      </c>
      <c r="L183">
        <v>1095</v>
      </c>
      <c r="M183">
        <v>0</v>
      </c>
    </row>
    <row r="184" spans="1:13" x14ac:dyDescent="0.35">
      <c r="A184" s="1" t="s">
        <v>768</v>
      </c>
      <c r="B184" s="1" t="s">
        <v>769</v>
      </c>
      <c r="C184" s="1" t="s">
        <v>770</v>
      </c>
      <c r="D184" s="1" t="s">
        <v>16</v>
      </c>
      <c r="E184" s="1" t="s">
        <v>52</v>
      </c>
      <c r="F184" s="1" t="s">
        <v>771</v>
      </c>
      <c r="G184" s="1" t="s">
        <v>126</v>
      </c>
      <c r="H184" s="1" t="s">
        <v>106</v>
      </c>
      <c r="I184" s="1" t="s">
        <v>772</v>
      </c>
      <c r="J184" s="1" t="s">
        <v>21</v>
      </c>
      <c r="K184">
        <v>6500</v>
      </c>
      <c r="L184">
        <v>1109</v>
      </c>
      <c r="M184">
        <v>0</v>
      </c>
    </row>
    <row r="185" spans="1:13" x14ac:dyDescent="0.35">
      <c r="A185" s="1" t="s">
        <v>773</v>
      </c>
      <c r="B185" s="1" t="s">
        <v>62</v>
      </c>
      <c r="C185" s="1" t="s">
        <v>774</v>
      </c>
      <c r="D185" s="1" t="s">
        <v>16</v>
      </c>
      <c r="E185" s="1" t="s">
        <v>32</v>
      </c>
      <c r="F185" s="1" t="s">
        <v>775</v>
      </c>
      <c r="G185" s="1" t="s">
        <v>137</v>
      </c>
      <c r="H185" s="1" t="s">
        <v>96</v>
      </c>
      <c r="I185" s="1" t="s">
        <v>21</v>
      </c>
      <c r="J185" s="1" t="s">
        <v>21</v>
      </c>
      <c r="K185">
        <v>0</v>
      </c>
      <c r="L185">
        <v>300</v>
      </c>
      <c r="M185">
        <v>0</v>
      </c>
    </row>
    <row r="186" spans="1:13" x14ac:dyDescent="0.35">
      <c r="A186" s="1" t="s">
        <v>776</v>
      </c>
      <c r="B186" s="1" t="s">
        <v>777</v>
      </c>
      <c r="C186" s="1" t="s">
        <v>778</v>
      </c>
      <c r="D186" s="1" t="s">
        <v>75</v>
      </c>
      <c r="E186" s="1" t="s">
        <v>39</v>
      </c>
      <c r="F186" s="1" t="s">
        <v>779</v>
      </c>
      <c r="G186" s="1" t="s">
        <v>27</v>
      </c>
      <c r="H186" s="1" t="s">
        <v>54</v>
      </c>
      <c r="I186" s="1" t="s">
        <v>21</v>
      </c>
      <c r="J186" s="1" t="s">
        <v>71</v>
      </c>
      <c r="K186">
        <v>7500</v>
      </c>
      <c r="L186">
        <v>1131</v>
      </c>
      <c r="M186">
        <v>0</v>
      </c>
    </row>
    <row r="187" spans="1:13" x14ac:dyDescent="0.35">
      <c r="A187" s="1" t="s">
        <v>780</v>
      </c>
      <c r="B187" s="1" t="s">
        <v>781</v>
      </c>
      <c r="C187" s="1" t="s">
        <v>782</v>
      </c>
      <c r="D187" s="1" t="s">
        <v>16</v>
      </c>
      <c r="E187" s="1" t="s">
        <v>94</v>
      </c>
      <c r="F187" s="1" t="s">
        <v>783</v>
      </c>
      <c r="G187" s="1" t="s">
        <v>27</v>
      </c>
      <c r="H187" s="1" t="s">
        <v>54</v>
      </c>
      <c r="I187" s="1" t="s">
        <v>21</v>
      </c>
      <c r="J187" s="1" t="s">
        <v>21</v>
      </c>
      <c r="K187">
        <v>1500</v>
      </c>
      <c r="L187">
        <v>2519</v>
      </c>
      <c r="M187">
        <v>0</v>
      </c>
    </row>
    <row r="188" spans="1:13" x14ac:dyDescent="0.35">
      <c r="A188" s="1" t="s">
        <v>784</v>
      </c>
      <c r="B188" s="1" t="s">
        <v>785</v>
      </c>
      <c r="C188" s="1" t="s">
        <v>786</v>
      </c>
      <c r="D188" s="1" t="s">
        <v>75</v>
      </c>
      <c r="E188" s="1" t="s">
        <v>32</v>
      </c>
      <c r="F188" s="1" t="s">
        <v>787</v>
      </c>
      <c r="G188" s="1" t="s">
        <v>48</v>
      </c>
      <c r="H188" s="1" t="s">
        <v>96</v>
      </c>
      <c r="I188" s="1" t="s">
        <v>21</v>
      </c>
      <c r="J188" s="1" t="s">
        <v>79</v>
      </c>
      <c r="K188">
        <v>0</v>
      </c>
      <c r="L188">
        <v>3255</v>
      </c>
      <c r="M188">
        <v>0</v>
      </c>
    </row>
    <row r="189" spans="1:13" x14ac:dyDescent="0.35">
      <c r="A189" s="1" t="s">
        <v>788</v>
      </c>
      <c r="B189" s="1" t="s">
        <v>789</v>
      </c>
      <c r="C189" s="1" t="s">
        <v>790</v>
      </c>
      <c r="D189" s="1" t="s">
        <v>58</v>
      </c>
      <c r="E189" s="1" t="s">
        <v>52</v>
      </c>
      <c r="F189" s="1" t="s">
        <v>791</v>
      </c>
      <c r="G189" s="1" t="s">
        <v>48</v>
      </c>
      <c r="H189" s="1" t="s">
        <v>106</v>
      </c>
      <c r="I189" s="1" t="s">
        <v>112</v>
      </c>
      <c r="J189" s="1" t="s">
        <v>21</v>
      </c>
      <c r="L189">
        <v>1945</v>
      </c>
      <c r="M189">
        <v>0</v>
      </c>
    </row>
    <row r="190" spans="1:13" x14ac:dyDescent="0.35">
      <c r="A190" s="1" t="s">
        <v>792</v>
      </c>
      <c r="B190" s="1" t="s">
        <v>793</v>
      </c>
      <c r="C190" s="1" t="s">
        <v>794</v>
      </c>
      <c r="D190" s="1" t="s">
        <v>25</v>
      </c>
      <c r="E190" s="1" t="s">
        <v>17</v>
      </c>
      <c r="F190" s="1" t="s">
        <v>795</v>
      </c>
      <c r="G190" s="1" t="s">
        <v>126</v>
      </c>
      <c r="H190" s="1" t="s">
        <v>77</v>
      </c>
      <c r="I190" s="1" t="s">
        <v>21</v>
      </c>
      <c r="J190" s="1" t="s">
        <v>121</v>
      </c>
      <c r="K190">
        <v>2500</v>
      </c>
      <c r="L190">
        <v>1069</v>
      </c>
      <c r="M190">
        <v>0</v>
      </c>
    </row>
    <row r="191" spans="1:13" x14ac:dyDescent="0.35">
      <c r="A191" s="1" t="s">
        <v>796</v>
      </c>
      <c r="B191" s="1" t="s">
        <v>797</v>
      </c>
      <c r="C191" s="1" t="s">
        <v>798</v>
      </c>
      <c r="D191" s="1" t="s">
        <v>16</v>
      </c>
      <c r="E191" s="1" t="s">
        <v>94</v>
      </c>
      <c r="F191" s="1" t="s">
        <v>799</v>
      </c>
      <c r="G191" s="1" t="s">
        <v>126</v>
      </c>
      <c r="H191" s="1" t="s">
        <v>54</v>
      </c>
      <c r="I191" s="1" t="s">
        <v>21</v>
      </c>
      <c r="J191" s="1" t="s">
        <v>21</v>
      </c>
      <c r="K191">
        <v>1500</v>
      </c>
      <c r="L191">
        <v>1941</v>
      </c>
      <c r="M191">
        <v>0</v>
      </c>
    </row>
    <row r="192" spans="1:13" x14ac:dyDescent="0.35">
      <c r="A192" s="1" t="s">
        <v>800</v>
      </c>
      <c r="B192" s="1" t="s">
        <v>801</v>
      </c>
      <c r="C192" s="1" t="s">
        <v>802</v>
      </c>
      <c r="D192" s="1" t="s">
        <v>16</v>
      </c>
      <c r="E192" s="1" t="s">
        <v>52</v>
      </c>
      <c r="F192" s="1" t="s">
        <v>803</v>
      </c>
      <c r="G192" s="1" t="s">
        <v>126</v>
      </c>
      <c r="H192" s="1" t="s">
        <v>20</v>
      </c>
      <c r="I192" s="1" t="s">
        <v>804</v>
      </c>
      <c r="J192" s="1" t="s">
        <v>21</v>
      </c>
      <c r="K192">
        <v>6500</v>
      </c>
      <c r="L192">
        <v>2595</v>
      </c>
      <c r="M192">
        <v>0</v>
      </c>
    </row>
    <row r="193" spans="1:13" x14ac:dyDescent="0.35">
      <c r="A193" s="1" t="s">
        <v>805</v>
      </c>
      <c r="B193" s="1" t="s">
        <v>609</v>
      </c>
      <c r="C193" s="1" t="s">
        <v>806</v>
      </c>
      <c r="D193" s="1" t="s">
        <v>16</v>
      </c>
      <c r="E193" s="1" t="s">
        <v>52</v>
      </c>
      <c r="F193" s="1" t="s">
        <v>807</v>
      </c>
      <c r="G193" s="1" t="s">
        <v>41</v>
      </c>
      <c r="H193" s="1" t="s">
        <v>20</v>
      </c>
      <c r="I193" s="1" t="s">
        <v>131</v>
      </c>
      <c r="J193" s="1" t="s">
        <v>21</v>
      </c>
      <c r="K193">
        <v>6500</v>
      </c>
      <c r="L193">
        <v>381</v>
      </c>
      <c r="M193">
        <v>0</v>
      </c>
    </row>
    <row r="194" spans="1:13" x14ac:dyDescent="0.35">
      <c r="A194" s="1" t="s">
        <v>808</v>
      </c>
      <c r="B194" s="1" t="s">
        <v>809</v>
      </c>
      <c r="C194" s="1" t="s">
        <v>810</v>
      </c>
      <c r="D194" s="1" t="s">
        <v>75</v>
      </c>
      <c r="E194" s="1" t="s">
        <v>52</v>
      </c>
      <c r="F194" s="1" t="s">
        <v>811</v>
      </c>
      <c r="G194" s="1" t="s">
        <v>126</v>
      </c>
      <c r="H194" s="1" t="s">
        <v>54</v>
      </c>
      <c r="I194" s="1" t="s">
        <v>291</v>
      </c>
      <c r="J194" s="1" t="s">
        <v>121</v>
      </c>
      <c r="K194">
        <v>6500</v>
      </c>
      <c r="L194">
        <v>4609</v>
      </c>
      <c r="M194">
        <v>1</v>
      </c>
    </row>
    <row r="195" spans="1:13" x14ac:dyDescent="0.35">
      <c r="A195" s="1" t="s">
        <v>812</v>
      </c>
      <c r="B195" s="1" t="s">
        <v>813</v>
      </c>
      <c r="C195" s="1" t="s">
        <v>814</v>
      </c>
      <c r="D195" s="1" t="s">
        <v>75</v>
      </c>
      <c r="E195" s="1" t="s">
        <v>94</v>
      </c>
      <c r="F195" s="1" t="s">
        <v>815</v>
      </c>
      <c r="G195" s="1" t="s">
        <v>41</v>
      </c>
      <c r="H195" s="1" t="s">
        <v>35</v>
      </c>
      <c r="I195" s="1" t="s">
        <v>21</v>
      </c>
      <c r="J195" s="1" t="s">
        <v>79</v>
      </c>
      <c r="K195">
        <v>1500</v>
      </c>
      <c r="L195">
        <v>1389</v>
      </c>
      <c r="M195">
        <v>1</v>
      </c>
    </row>
    <row r="196" spans="1:13" x14ac:dyDescent="0.35">
      <c r="A196" s="1" t="s">
        <v>816</v>
      </c>
      <c r="B196" s="1" t="s">
        <v>817</v>
      </c>
      <c r="C196" s="1" t="s">
        <v>818</v>
      </c>
      <c r="D196" s="1" t="s">
        <v>93</v>
      </c>
      <c r="E196" s="1" t="s">
        <v>32</v>
      </c>
      <c r="F196" s="1" t="s">
        <v>819</v>
      </c>
      <c r="G196" s="1" t="s">
        <v>137</v>
      </c>
      <c r="H196" s="1" t="s">
        <v>77</v>
      </c>
      <c r="I196" s="1" t="s">
        <v>21</v>
      </c>
      <c r="J196" s="1" t="s">
        <v>79</v>
      </c>
      <c r="L196">
        <v>3104</v>
      </c>
      <c r="M196">
        <v>0</v>
      </c>
    </row>
    <row r="197" spans="1:13" x14ac:dyDescent="0.35">
      <c r="A197" s="1" t="s">
        <v>820</v>
      </c>
      <c r="B197" s="1" t="s">
        <v>821</v>
      </c>
      <c r="C197" s="1" t="s">
        <v>822</v>
      </c>
      <c r="D197" s="1" t="s">
        <v>46</v>
      </c>
      <c r="E197" s="1" t="s">
        <v>39</v>
      </c>
      <c r="F197" s="1" t="s">
        <v>823</v>
      </c>
      <c r="G197" s="1" t="s">
        <v>65</v>
      </c>
      <c r="H197" s="1" t="s">
        <v>20</v>
      </c>
      <c r="I197" s="1" t="s">
        <v>21</v>
      </c>
      <c r="J197" s="1" t="s">
        <v>21</v>
      </c>
      <c r="K197">
        <v>7500</v>
      </c>
      <c r="L197">
        <v>4600</v>
      </c>
      <c r="M197">
        <v>0</v>
      </c>
    </row>
    <row r="198" spans="1:13" x14ac:dyDescent="0.35">
      <c r="A198" s="1" t="s">
        <v>824</v>
      </c>
      <c r="B198" s="1" t="s">
        <v>825</v>
      </c>
      <c r="C198" s="1" t="s">
        <v>826</v>
      </c>
      <c r="D198" s="1" t="s">
        <v>75</v>
      </c>
      <c r="E198" s="1" t="s">
        <v>17</v>
      </c>
      <c r="F198" s="1" t="s">
        <v>827</v>
      </c>
      <c r="G198" s="1" t="s">
        <v>126</v>
      </c>
      <c r="H198" s="1" t="s">
        <v>20</v>
      </c>
      <c r="I198" s="1" t="s">
        <v>21</v>
      </c>
      <c r="J198" s="1" t="s">
        <v>79</v>
      </c>
      <c r="K198">
        <v>2500</v>
      </c>
      <c r="L198">
        <v>3200</v>
      </c>
      <c r="M198">
        <v>0</v>
      </c>
    </row>
    <row r="199" spans="1:13" x14ac:dyDescent="0.35">
      <c r="A199" s="1" t="s">
        <v>828</v>
      </c>
      <c r="B199" s="1" t="s">
        <v>829</v>
      </c>
      <c r="C199" s="1" t="s">
        <v>830</v>
      </c>
      <c r="D199" s="1" t="s">
        <v>16</v>
      </c>
      <c r="E199" s="1" t="s">
        <v>94</v>
      </c>
      <c r="F199" s="1" t="s">
        <v>831</v>
      </c>
      <c r="G199" s="1" t="s">
        <v>65</v>
      </c>
      <c r="H199" s="1" t="s">
        <v>106</v>
      </c>
      <c r="I199" s="1" t="s">
        <v>21</v>
      </c>
      <c r="J199" s="1" t="s">
        <v>21</v>
      </c>
      <c r="K199">
        <v>1500</v>
      </c>
      <c r="M199">
        <v>0</v>
      </c>
    </row>
    <row r="200" spans="1:13" x14ac:dyDescent="0.35">
      <c r="A200" s="1" t="s">
        <v>832</v>
      </c>
      <c r="B200" s="1" t="s">
        <v>833</v>
      </c>
      <c r="C200" s="1" t="s">
        <v>834</v>
      </c>
      <c r="D200" s="1" t="s">
        <v>46</v>
      </c>
      <c r="E200" s="1" t="s">
        <v>39</v>
      </c>
      <c r="F200" s="1" t="s">
        <v>835</v>
      </c>
      <c r="G200" s="1" t="s">
        <v>34</v>
      </c>
      <c r="H200" s="1" t="s">
        <v>96</v>
      </c>
      <c r="I200" s="1" t="s">
        <v>21</v>
      </c>
      <c r="J200" s="1" t="s">
        <v>21</v>
      </c>
      <c r="L200">
        <v>1040</v>
      </c>
      <c r="M200">
        <v>0</v>
      </c>
    </row>
    <row r="201" spans="1:13" x14ac:dyDescent="0.35">
      <c r="A201" s="1" t="s">
        <v>836</v>
      </c>
      <c r="B201" s="1" t="s">
        <v>837</v>
      </c>
      <c r="C201" s="1" t="s">
        <v>838</v>
      </c>
      <c r="D201" s="1" t="s">
        <v>75</v>
      </c>
      <c r="E201" s="1" t="s">
        <v>94</v>
      </c>
      <c r="F201" s="1" t="s">
        <v>839</v>
      </c>
      <c r="G201" s="1" t="s">
        <v>19</v>
      </c>
      <c r="H201" s="1" t="s">
        <v>77</v>
      </c>
      <c r="I201" s="1" t="s">
        <v>21</v>
      </c>
      <c r="J201" s="1" t="s">
        <v>71</v>
      </c>
      <c r="K201">
        <v>1500</v>
      </c>
      <c r="L201">
        <v>4249</v>
      </c>
      <c r="M201">
        <v>1</v>
      </c>
    </row>
    <row r="202" spans="1:13" x14ac:dyDescent="0.35">
      <c r="A202" s="1" t="s">
        <v>840</v>
      </c>
      <c r="B202" s="1" t="s">
        <v>841</v>
      </c>
      <c r="C202" s="1" t="s">
        <v>842</v>
      </c>
      <c r="D202" s="1" t="s">
        <v>58</v>
      </c>
      <c r="E202" s="1" t="s">
        <v>94</v>
      </c>
      <c r="F202" s="1" t="s">
        <v>843</v>
      </c>
      <c r="G202" s="1" t="s">
        <v>126</v>
      </c>
      <c r="H202" s="1" t="s">
        <v>96</v>
      </c>
      <c r="I202" s="1" t="s">
        <v>21</v>
      </c>
      <c r="J202" s="1" t="s">
        <v>21</v>
      </c>
      <c r="K202">
        <v>1500</v>
      </c>
      <c r="L202">
        <v>3946</v>
      </c>
      <c r="M202">
        <v>0</v>
      </c>
    </row>
    <row r="203" spans="1:13" x14ac:dyDescent="0.35">
      <c r="A203" s="1" t="s">
        <v>844</v>
      </c>
      <c r="B203" s="1" t="s">
        <v>845</v>
      </c>
      <c r="C203" s="1" t="s">
        <v>846</v>
      </c>
      <c r="D203" s="1" t="s">
        <v>25</v>
      </c>
      <c r="E203" s="1" t="s">
        <v>94</v>
      </c>
      <c r="F203" s="1" t="s">
        <v>847</v>
      </c>
      <c r="G203" s="1" t="s">
        <v>27</v>
      </c>
      <c r="H203" s="1" t="s">
        <v>42</v>
      </c>
      <c r="I203" s="1" t="s">
        <v>21</v>
      </c>
      <c r="J203" s="1" t="s">
        <v>21</v>
      </c>
      <c r="K203">
        <v>1500</v>
      </c>
      <c r="L203">
        <v>2920</v>
      </c>
      <c r="M203">
        <v>0</v>
      </c>
    </row>
    <row r="204" spans="1:13" x14ac:dyDescent="0.35">
      <c r="A204" s="1" t="s">
        <v>848</v>
      </c>
      <c r="B204" s="1" t="s">
        <v>849</v>
      </c>
      <c r="C204" s="1" t="s">
        <v>850</v>
      </c>
      <c r="D204" s="1" t="s">
        <v>58</v>
      </c>
      <c r="E204" s="1" t="s">
        <v>94</v>
      </c>
      <c r="F204" s="1" t="s">
        <v>851</v>
      </c>
      <c r="G204" s="1" t="s">
        <v>137</v>
      </c>
      <c r="H204" s="1" t="s">
        <v>35</v>
      </c>
      <c r="I204" s="1" t="s">
        <v>21</v>
      </c>
      <c r="J204" s="1" t="s">
        <v>21</v>
      </c>
      <c r="K204">
        <v>1500</v>
      </c>
      <c r="L204">
        <v>3342</v>
      </c>
      <c r="M204">
        <v>0</v>
      </c>
    </row>
    <row r="205" spans="1:13" x14ac:dyDescent="0.35">
      <c r="A205" s="1" t="s">
        <v>852</v>
      </c>
      <c r="B205" s="1" t="s">
        <v>853</v>
      </c>
      <c r="C205" s="1" t="s">
        <v>854</v>
      </c>
      <c r="D205" s="1" t="s">
        <v>167</v>
      </c>
      <c r="E205" s="1" t="s">
        <v>32</v>
      </c>
      <c r="F205" s="1" t="s">
        <v>855</v>
      </c>
      <c r="G205" s="1" t="s">
        <v>41</v>
      </c>
      <c r="H205" s="1" t="s">
        <v>42</v>
      </c>
      <c r="I205" s="1" t="s">
        <v>21</v>
      </c>
      <c r="J205" s="1" t="s">
        <v>21</v>
      </c>
      <c r="K205">
        <v>0</v>
      </c>
      <c r="L205">
        <v>2597</v>
      </c>
      <c r="M205">
        <v>0</v>
      </c>
    </row>
    <row r="206" spans="1:13" x14ac:dyDescent="0.35">
      <c r="A206" s="1" t="s">
        <v>856</v>
      </c>
      <c r="B206" s="1" t="s">
        <v>857</v>
      </c>
      <c r="C206" s="1" t="s">
        <v>858</v>
      </c>
      <c r="D206" s="1" t="s">
        <v>284</v>
      </c>
      <c r="E206" s="1" t="s">
        <v>39</v>
      </c>
      <c r="F206" s="1" t="s">
        <v>859</v>
      </c>
      <c r="G206" s="1" t="s">
        <v>126</v>
      </c>
      <c r="H206" s="1" t="s">
        <v>96</v>
      </c>
      <c r="I206" s="1" t="s">
        <v>21</v>
      </c>
      <c r="J206" s="1" t="s">
        <v>79</v>
      </c>
      <c r="K206">
        <v>7500</v>
      </c>
      <c r="L206">
        <v>73107</v>
      </c>
      <c r="M206">
        <v>0</v>
      </c>
    </row>
    <row r="207" spans="1:13" x14ac:dyDescent="0.35">
      <c r="A207" s="1" t="s">
        <v>21</v>
      </c>
      <c r="B207" s="1" t="s">
        <v>21</v>
      </c>
      <c r="C207" s="1" t="s">
        <v>860</v>
      </c>
      <c r="D207" s="1" t="s">
        <v>16</v>
      </c>
      <c r="E207" s="1" t="s">
        <v>52</v>
      </c>
      <c r="F207" s="1" t="s">
        <v>21</v>
      </c>
      <c r="G207" s="1" t="s">
        <v>21</v>
      </c>
      <c r="H207" s="1" t="s">
        <v>35</v>
      </c>
      <c r="I207" s="1" t="s">
        <v>21</v>
      </c>
      <c r="J207" s="1" t="s">
        <v>21</v>
      </c>
      <c r="M207">
        <v>0</v>
      </c>
    </row>
    <row r="208" spans="1:13" x14ac:dyDescent="0.35">
      <c r="A208" s="1" t="s">
        <v>861</v>
      </c>
      <c r="B208" s="1" t="s">
        <v>862</v>
      </c>
      <c r="C208" s="1" t="s">
        <v>863</v>
      </c>
      <c r="D208" s="1" t="s">
        <v>16</v>
      </c>
      <c r="E208" s="1" t="s">
        <v>32</v>
      </c>
      <c r="F208" s="1" t="s">
        <v>864</v>
      </c>
      <c r="G208" s="1" t="s">
        <v>195</v>
      </c>
      <c r="H208" s="1" t="s">
        <v>96</v>
      </c>
      <c r="I208" s="1" t="s">
        <v>21</v>
      </c>
      <c r="J208" s="1" t="s">
        <v>21</v>
      </c>
      <c r="K208">
        <v>0</v>
      </c>
      <c r="L208">
        <v>2910</v>
      </c>
      <c r="M208">
        <v>0</v>
      </c>
    </row>
    <row r="209" spans="1:13" x14ac:dyDescent="0.35">
      <c r="A209" s="1" t="s">
        <v>865</v>
      </c>
      <c r="B209" s="1" t="s">
        <v>866</v>
      </c>
      <c r="C209" s="1" t="s">
        <v>867</v>
      </c>
      <c r="D209" s="1" t="s">
        <v>150</v>
      </c>
      <c r="E209" s="1" t="s">
        <v>52</v>
      </c>
      <c r="F209" s="1" t="s">
        <v>868</v>
      </c>
      <c r="G209" s="1" t="s">
        <v>195</v>
      </c>
      <c r="H209" s="1" t="s">
        <v>60</v>
      </c>
      <c r="I209" s="1" t="s">
        <v>112</v>
      </c>
      <c r="J209" s="1" t="s">
        <v>21</v>
      </c>
      <c r="K209">
        <v>6500</v>
      </c>
      <c r="L209">
        <v>4831</v>
      </c>
      <c r="M209">
        <v>0</v>
      </c>
    </row>
    <row r="210" spans="1:13" x14ac:dyDescent="0.35">
      <c r="A210" s="1" t="s">
        <v>869</v>
      </c>
      <c r="B210" s="1" t="s">
        <v>732</v>
      </c>
      <c r="C210" s="1" t="s">
        <v>870</v>
      </c>
      <c r="D210" s="1" t="s">
        <v>167</v>
      </c>
      <c r="E210" s="1" t="s">
        <v>52</v>
      </c>
      <c r="F210" s="1" t="s">
        <v>871</v>
      </c>
      <c r="G210" s="1" t="s">
        <v>65</v>
      </c>
      <c r="H210" s="1" t="s">
        <v>35</v>
      </c>
      <c r="I210" s="1" t="s">
        <v>112</v>
      </c>
      <c r="J210" s="1" t="s">
        <v>21</v>
      </c>
      <c r="L210">
        <v>1152</v>
      </c>
      <c r="M210">
        <v>0</v>
      </c>
    </row>
    <row r="211" spans="1:13" x14ac:dyDescent="0.35">
      <c r="A211" s="1" t="s">
        <v>872</v>
      </c>
      <c r="B211" s="1" t="s">
        <v>873</v>
      </c>
      <c r="C211" s="1" t="s">
        <v>874</v>
      </c>
      <c r="D211" s="1" t="s">
        <v>25</v>
      </c>
      <c r="E211" s="1" t="s">
        <v>39</v>
      </c>
      <c r="F211" s="1" t="s">
        <v>875</v>
      </c>
      <c r="G211" s="1" t="s">
        <v>65</v>
      </c>
      <c r="H211" s="1" t="s">
        <v>77</v>
      </c>
      <c r="I211" s="1" t="s">
        <v>21</v>
      </c>
      <c r="J211" s="1" t="s">
        <v>21</v>
      </c>
      <c r="K211">
        <v>7500</v>
      </c>
      <c r="L211">
        <v>4351</v>
      </c>
      <c r="M211">
        <v>1</v>
      </c>
    </row>
    <row r="212" spans="1:13" x14ac:dyDescent="0.35">
      <c r="A212" s="1" t="s">
        <v>876</v>
      </c>
      <c r="B212" s="1" t="s">
        <v>877</v>
      </c>
      <c r="C212" s="1" t="s">
        <v>878</v>
      </c>
      <c r="D212" s="1" t="s">
        <v>75</v>
      </c>
      <c r="E212" s="1" t="s">
        <v>52</v>
      </c>
      <c r="F212" s="1" t="s">
        <v>879</v>
      </c>
      <c r="G212" s="1" t="s">
        <v>65</v>
      </c>
      <c r="H212" s="1" t="s">
        <v>54</v>
      </c>
      <c r="I212" s="1" t="s">
        <v>138</v>
      </c>
      <c r="J212" s="1" t="s">
        <v>21</v>
      </c>
      <c r="K212">
        <v>6500</v>
      </c>
      <c r="L212">
        <v>2105</v>
      </c>
      <c r="M212">
        <v>0</v>
      </c>
    </row>
    <row r="213" spans="1:13" x14ac:dyDescent="0.35">
      <c r="A213" s="1" t="s">
        <v>880</v>
      </c>
      <c r="B213" s="1" t="s">
        <v>881</v>
      </c>
      <c r="C213" s="1" t="s">
        <v>882</v>
      </c>
      <c r="D213" s="1" t="s">
        <v>25</v>
      </c>
      <c r="E213" s="1" t="s">
        <v>17</v>
      </c>
      <c r="F213" s="1" t="s">
        <v>883</v>
      </c>
      <c r="G213" s="1" t="s">
        <v>41</v>
      </c>
      <c r="H213" s="1" t="s">
        <v>77</v>
      </c>
      <c r="I213" s="1" t="s">
        <v>21</v>
      </c>
      <c r="J213" s="1" t="s">
        <v>79</v>
      </c>
      <c r="K213">
        <v>2500</v>
      </c>
      <c r="L213">
        <v>3007</v>
      </c>
      <c r="M213">
        <v>0</v>
      </c>
    </row>
    <row r="214" spans="1:13" x14ac:dyDescent="0.35">
      <c r="A214" s="1" t="s">
        <v>884</v>
      </c>
      <c r="B214" s="1" t="s">
        <v>885</v>
      </c>
      <c r="C214" s="1" t="s">
        <v>886</v>
      </c>
      <c r="D214" s="1" t="s">
        <v>150</v>
      </c>
      <c r="E214" s="1" t="s">
        <v>94</v>
      </c>
      <c r="F214" s="1" t="s">
        <v>887</v>
      </c>
      <c r="G214" s="1" t="s">
        <v>41</v>
      </c>
      <c r="H214" s="1" t="s">
        <v>54</v>
      </c>
      <c r="I214" s="1" t="s">
        <v>21</v>
      </c>
      <c r="J214" s="1" t="s">
        <v>21</v>
      </c>
      <c r="L214">
        <v>1611</v>
      </c>
      <c r="M214">
        <v>0</v>
      </c>
    </row>
    <row r="215" spans="1:13" x14ac:dyDescent="0.35">
      <c r="A215" s="1" t="s">
        <v>888</v>
      </c>
      <c r="B215" s="1" t="s">
        <v>889</v>
      </c>
      <c r="C215" s="1" t="s">
        <v>890</v>
      </c>
      <c r="D215" s="1" t="s">
        <v>110</v>
      </c>
      <c r="E215" s="1" t="s">
        <v>32</v>
      </c>
      <c r="F215" s="1" t="s">
        <v>891</v>
      </c>
      <c r="G215" s="1" t="s">
        <v>264</v>
      </c>
      <c r="H215" s="1" t="s">
        <v>60</v>
      </c>
      <c r="I215" s="1" t="s">
        <v>21</v>
      </c>
      <c r="J215" s="1" t="s">
        <v>21</v>
      </c>
      <c r="K215">
        <v>0</v>
      </c>
      <c r="M215">
        <v>0</v>
      </c>
    </row>
    <row r="216" spans="1:13" x14ac:dyDescent="0.35">
      <c r="A216" s="1" t="s">
        <v>21</v>
      </c>
      <c r="B216" s="1" t="s">
        <v>21</v>
      </c>
      <c r="C216" s="1" t="s">
        <v>892</v>
      </c>
      <c r="D216" s="1" t="s">
        <v>75</v>
      </c>
      <c r="E216" s="1" t="s">
        <v>39</v>
      </c>
      <c r="F216" s="1" t="s">
        <v>21</v>
      </c>
      <c r="G216" s="1" t="s">
        <v>21</v>
      </c>
      <c r="H216" s="1" t="s">
        <v>54</v>
      </c>
      <c r="I216" s="1" t="s">
        <v>21</v>
      </c>
      <c r="J216" s="1" t="s">
        <v>21</v>
      </c>
      <c r="M216">
        <v>0</v>
      </c>
    </row>
    <row r="217" spans="1:13" x14ac:dyDescent="0.35">
      <c r="A217" s="1" t="s">
        <v>893</v>
      </c>
      <c r="B217" s="1" t="s">
        <v>894</v>
      </c>
      <c r="C217" s="1" t="s">
        <v>895</v>
      </c>
      <c r="D217" s="1" t="s">
        <v>167</v>
      </c>
      <c r="E217" s="1" t="s">
        <v>32</v>
      </c>
      <c r="F217" s="1" t="s">
        <v>896</v>
      </c>
      <c r="G217" s="1" t="s">
        <v>195</v>
      </c>
      <c r="H217" s="1" t="s">
        <v>60</v>
      </c>
      <c r="I217" s="1" t="s">
        <v>21</v>
      </c>
      <c r="J217" s="1" t="s">
        <v>21</v>
      </c>
      <c r="K217">
        <v>0</v>
      </c>
      <c r="L217">
        <v>3565</v>
      </c>
      <c r="M217">
        <v>1</v>
      </c>
    </row>
    <row r="218" spans="1:13" x14ac:dyDescent="0.35">
      <c r="A218" s="1" t="s">
        <v>897</v>
      </c>
      <c r="B218" s="1" t="s">
        <v>898</v>
      </c>
      <c r="C218" s="1" t="s">
        <v>899</v>
      </c>
      <c r="D218" s="1" t="s">
        <v>284</v>
      </c>
      <c r="E218" s="1" t="s">
        <v>32</v>
      </c>
      <c r="F218" s="1" t="s">
        <v>900</v>
      </c>
      <c r="G218" s="1" t="s">
        <v>41</v>
      </c>
      <c r="H218" s="1" t="s">
        <v>106</v>
      </c>
      <c r="I218" s="1" t="s">
        <v>21</v>
      </c>
      <c r="J218" s="1" t="s">
        <v>79</v>
      </c>
      <c r="K218">
        <v>0</v>
      </c>
      <c r="L218">
        <v>4858</v>
      </c>
      <c r="M218">
        <v>0</v>
      </c>
    </row>
    <row r="219" spans="1:13" x14ac:dyDescent="0.35">
      <c r="A219" s="1" t="s">
        <v>901</v>
      </c>
      <c r="B219" s="1" t="s">
        <v>902</v>
      </c>
      <c r="C219" s="1" t="s">
        <v>903</v>
      </c>
      <c r="D219" s="1" t="s">
        <v>75</v>
      </c>
      <c r="E219" s="1" t="s">
        <v>17</v>
      </c>
      <c r="F219" s="1" t="s">
        <v>904</v>
      </c>
      <c r="G219" s="1" t="s">
        <v>65</v>
      </c>
      <c r="H219" s="1" t="s">
        <v>35</v>
      </c>
      <c r="I219" s="1" t="s">
        <v>21</v>
      </c>
      <c r="J219" s="1" t="s">
        <v>121</v>
      </c>
      <c r="K219">
        <v>2500</v>
      </c>
      <c r="L219">
        <v>766</v>
      </c>
      <c r="M219">
        <v>0</v>
      </c>
    </row>
    <row r="220" spans="1:13" x14ac:dyDescent="0.35">
      <c r="A220" s="1" t="s">
        <v>905</v>
      </c>
      <c r="B220" s="1" t="s">
        <v>906</v>
      </c>
      <c r="C220" s="1" t="s">
        <v>907</v>
      </c>
      <c r="D220" s="1" t="s">
        <v>31</v>
      </c>
      <c r="E220" s="1" t="s">
        <v>39</v>
      </c>
      <c r="F220" s="1" t="s">
        <v>908</v>
      </c>
      <c r="G220" s="1" t="s">
        <v>126</v>
      </c>
      <c r="H220" s="1" t="s">
        <v>20</v>
      </c>
      <c r="I220" s="1" t="s">
        <v>21</v>
      </c>
      <c r="J220" s="1" t="s">
        <v>21</v>
      </c>
      <c r="K220">
        <v>7500</v>
      </c>
      <c r="L220">
        <v>4042</v>
      </c>
      <c r="M220">
        <v>0</v>
      </c>
    </row>
    <row r="221" spans="1:13" x14ac:dyDescent="0.35">
      <c r="A221" s="1" t="s">
        <v>909</v>
      </c>
      <c r="B221" s="1" t="s">
        <v>910</v>
      </c>
      <c r="C221" s="1" t="s">
        <v>911</v>
      </c>
      <c r="D221" s="1" t="s">
        <v>110</v>
      </c>
      <c r="E221" s="1" t="s">
        <v>32</v>
      </c>
      <c r="F221" s="1" t="s">
        <v>912</v>
      </c>
      <c r="G221" s="1" t="s">
        <v>65</v>
      </c>
      <c r="H221" s="1" t="s">
        <v>77</v>
      </c>
      <c r="I221" s="1" t="s">
        <v>21</v>
      </c>
      <c r="J221" s="1" t="s">
        <v>21</v>
      </c>
      <c r="K221">
        <v>0</v>
      </c>
      <c r="L221">
        <v>797</v>
      </c>
      <c r="M221">
        <v>0</v>
      </c>
    </row>
    <row r="222" spans="1:13" x14ac:dyDescent="0.35">
      <c r="A222" s="1" t="s">
        <v>913</v>
      </c>
      <c r="B222" s="1" t="s">
        <v>914</v>
      </c>
      <c r="C222" s="1" t="s">
        <v>915</v>
      </c>
      <c r="D222" s="1" t="s">
        <v>25</v>
      </c>
      <c r="E222" s="1" t="s">
        <v>52</v>
      </c>
      <c r="F222" s="1" t="s">
        <v>916</v>
      </c>
      <c r="G222" s="1" t="s">
        <v>41</v>
      </c>
      <c r="H222" s="1" t="s">
        <v>106</v>
      </c>
      <c r="I222" s="1" t="s">
        <v>78</v>
      </c>
      <c r="J222" s="1" t="s">
        <v>121</v>
      </c>
      <c r="K222">
        <v>6500</v>
      </c>
      <c r="L222">
        <v>3344</v>
      </c>
      <c r="M222">
        <v>0</v>
      </c>
    </row>
    <row r="223" spans="1:13" x14ac:dyDescent="0.35">
      <c r="A223" s="1" t="s">
        <v>917</v>
      </c>
      <c r="B223" s="1" t="s">
        <v>918</v>
      </c>
      <c r="C223" s="1" t="s">
        <v>919</v>
      </c>
      <c r="D223" s="1" t="s">
        <v>167</v>
      </c>
      <c r="E223" s="1" t="s">
        <v>94</v>
      </c>
      <c r="F223" s="1" t="s">
        <v>920</v>
      </c>
      <c r="G223" s="1" t="s">
        <v>65</v>
      </c>
      <c r="H223" s="1" t="s">
        <v>96</v>
      </c>
      <c r="I223" s="1" t="s">
        <v>21</v>
      </c>
      <c r="J223" s="1" t="s">
        <v>21</v>
      </c>
      <c r="K223">
        <v>1500</v>
      </c>
      <c r="L223">
        <v>1716</v>
      </c>
      <c r="M223">
        <v>0</v>
      </c>
    </row>
    <row r="224" spans="1:13" x14ac:dyDescent="0.35">
      <c r="A224" s="1" t="s">
        <v>921</v>
      </c>
      <c r="B224" s="1" t="s">
        <v>922</v>
      </c>
      <c r="C224" s="1" t="s">
        <v>923</v>
      </c>
      <c r="D224" s="1" t="s">
        <v>58</v>
      </c>
      <c r="E224" s="1" t="s">
        <v>39</v>
      </c>
      <c r="F224" s="1" t="s">
        <v>924</v>
      </c>
      <c r="G224" s="1" t="s">
        <v>65</v>
      </c>
      <c r="H224" s="1" t="s">
        <v>35</v>
      </c>
      <c r="I224" s="1" t="s">
        <v>21</v>
      </c>
      <c r="J224" s="1" t="s">
        <v>21</v>
      </c>
      <c r="K224">
        <v>7500</v>
      </c>
      <c r="L224">
        <v>1320</v>
      </c>
      <c r="M224">
        <v>0</v>
      </c>
    </row>
    <row r="225" spans="1:13" x14ac:dyDescent="0.35">
      <c r="A225" s="1" t="s">
        <v>925</v>
      </c>
      <c r="B225" s="1" t="s">
        <v>926</v>
      </c>
      <c r="C225" s="1" t="s">
        <v>927</v>
      </c>
      <c r="D225" s="1" t="s">
        <v>58</v>
      </c>
      <c r="E225" s="1" t="s">
        <v>94</v>
      </c>
      <c r="F225" s="1" t="s">
        <v>928</v>
      </c>
      <c r="G225" s="1" t="s">
        <v>27</v>
      </c>
      <c r="H225" s="1" t="s">
        <v>77</v>
      </c>
      <c r="I225" s="1" t="s">
        <v>21</v>
      </c>
      <c r="J225" s="1" t="s">
        <v>21</v>
      </c>
      <c r="K225">
        <v>1500</v>
      </c>
      <c r="L225">
        <v>3083</v>
      </c>
      <c r="M225">
        <v>1</v>
      </c>
    </row>
    <row r="226" spans="1:13" x14ac:dyDescent="0.35">
      <c r="A226" s="1" t="s">
        <v>929</v>
      </c>
      <c r="B226" s="1" t="s">
        <v>930</v>
      </c>
      <c r="C226" s="1" t="s">
        <v>931</v>
      </c>
      <c r="D226" s="1" t="s">
        <v>16</v>
      </c>
      <c r="E226" s="1" t="s">
        <v>39</v>
      </c>
      <c r="F226" s="1" t="s">
        <v>932</v>
      </c>
      <c r="G226" s="1" t="s">
        <v>126</v>
      </c>
      <c r="H226" s="1" t="s">
        <v>77</v>
      </c>
      <c r="I226" s="1" t="s">
        <v>21</v>
      </c>
      <c r="J226" s="1" t="s">
        <v>21</v>
      </c>
      <c r="K226">
        <v>7500</v>
      </c>
      <c r="L226">
        <v>1800</v>
      </c>
      <c r="M226">
        <v>0</v>
      </c>
    </row>
    <row r="227" spans="1:13" x14ac:dyDescent="0.35">
      <c r="A227" s="1" t="s">
        <v>933</v>
      </c>
      <c r="B227" s="1" t="s">
        <v>934</v>
      </c>
      <c r="C227" s="1" t="s">
        <v>935</v>
      </c>
      <c r="D227" s="1" t="s">
        <v>75</v>
      </c>
      <c r="E227" s="1" t="s">
        <v>32</v>
      </c>
      <c r="F227" s="1" t="s">
        <v>936</v>
      </c>
      <c r="G227" s="1" t="s">
        <v>126</v>
      </c>
      <c r="H227" s="1" t="s">
        <v>106</v>
      </c>
      <c r="I227" s="1" t="s">
        <v>21</v>
      </c>
      <c r="J227" s="1" t="s">
        <v>79</v>
      </c>
      <c r="K227">
        <v>0</v>
      </c>
      <c r="L227">
        <v>1039</v>
      </c>
      <c r="M227">
        <v>1</v>
      </c>
    </row>
    <row r="228" spans="1:13" x14ac:dyDescent="0.35">
      <c r="A228" s="1" t="s">
        <v>937</v>
      </c>
      <c r="B228" s="1" t="s">
        <v>938</v>
      </c>
      <c r="C228" s="1" t="s">
        <v>939</v>
      </c>
      <c r="D228" s="1" t="s">
        <v>58</v>
      </c>
      <c r="E228" s="1" t="s">
        <v>32</v>
      </c>
      <c r="F228" s="1" t="s">
        <v>940</v>
      </c>
      <c r="G228" s="1" t="s">
        <v>41</v>
      </c>
      <c r="H228" s="1" t="s">
        <v>54</v>
      </c>
      <c r="I228" s="1" t="s">
        <v>21</v>
      </c>
      <c r="J228" s="1" t="s">
        <v>21</v>
      </c>
      <c r="K228">
        <v>0</v>
      </c>
      <c r="L228">
        <v>3413</v>
      </c>
      <c r="M228">
        <v>0</v>
      </c>
    </row>
    <row r="229" spans="1:13" x14ac:dyDescent="0.35">
      <c r="A229" s="1" t="s">
        <v>941</v>
      </c>
      <c r="B229" s="1" t="s">
        <v>942</v>
      </c>
      <c r="C229" s="1" t="s">
        <v>943</v>
      </c>
      <c r="D229" s="1" t="s">
        <v>16</v>
      </c>
      <c r="E229" s="1" t="s">
        <v>32</v>
      </c>
      <c r="F229" s="1" t="s">
        <v>944</v>
      </c>
      <c r="G229" s="1" t="s">
        <v>65</v>
      </c>
      <c r="H229" s="1" t="s">
        <v>35</v>
      </c>
      <c r="I229" s="1" t="s">
        <v>21</v>
      </c>
      <c r="J229" s="1" t="s">
        <v>21</v>
      </c>
      <c r="K229">
        <v>0</v>
      </c>
      <c r="L229">
        <v>30881</v>
      </c>
      <c r="M229">
        <v>0</v>
      </c>
    </row>
    <row r="230" spans="1:13" x14ac:dyDescent="0.35">
      <c r="A230" s="1" t="s">
        <v>945</v>
      </c>
      <c r="B230" s="1" t="s">
        <v>946</v>
      </c>
      <c r="C230" s="1" t="s">
        <v>947</v>
      </c>
      <c r="D230" s="1" t="s">
        <v>25</v>
      </c>
      <c r="E230" s="1" t="s">
        <v>17</v>
      </c>
      <c r="F230" s="1" t="s">
        <v>948</v>
      </c>
      <c r="G230" s="1" t="s">
        <v>41</v>
      </c>
      <c r="H230" s="1" t="s">
        <v>60</v>
      </c>
      <c r="I230" s="1" t="s">
        <v>21</v>
      </c>
      <c r="J230" s="1" t="s">
        <v>21</v>
      </c>
      <c r="K230">
        <v>2500</v>
      </c>
      <c r="L230">
        <v>491</v>
      </c>
      <c r="M230">
        <v>0</v>
      </c>
    </row>
    <row r="231" spans="1:13" x14ac:dyDescent="0.35">
      <c r="A231" s="1" t="s">
        <v>949</v>
      </c>
      <c r="B231" s="1" t="s">
        <v>950</v>
      </c>
      <c r="C231" s="1" t="s">
        <v>951</v>
      </c>
      <c r="D231" s="1" t="s">
        <v>31</v>
      </c>
      <c r="E231" s="1" t="s">
        <v>52</v>
      </c>
      <c r="F231" s="1" t="s">
        <v>952</v>
      </c>
      <c r="G231" s="1" t="s">
        <v>126</v>
      </c>
      <c r="H231" s="1" t="s">
        <v>96</v>
      </c>
      <c r="I231" s="1" t="s">
        <v>78</v>
      </c>
      <c r="J231" s="1" t="s">
        <v>21</v>
      </c>
      <c r="K231">
        <v>6500</v>
      </c>
      <c r="L231">
        <v>2243</v>
      </c>
      <c r="M231">
        <v>1</v>
      </c>
    </row>
    <row r="232" spans="1:13" x14ac:dyDescent="0.35">
      <c r="A232" s="1" t="s">
        <v>953</v>
      </c>
      <c r="B232" s="1" t="s">
        <v>954</v>
      </c>
      <c r="C232" s="1" t="s">
        <v>955</v>
      </c>
      <c r="D232" s="1" t="s">
        <v>58</v>
      </c>
      <c r="E232" s="1" t="s">
        <v>52</v>
      </c>
      <c r="F232" s="1" t="s">
        <v>956</v>
      </c>
      <c r="G232" s="1" t="s">
        <v>27</v>
      </c>
      <c r="H232" s="1" t="s">
        <v>96</v>
      </c>
      <c r="I232" s="1" t="s">
        <v>291</v>
      </c>
      <c r="J232" s="1" t="s">
        <v>21</v>
      </c>
      <c r="K232">
        <v>6500</v>
      </c>
      <c r="L232">
        <v>2096</v>
      </c>
      <c r="M232">
        <v>0</v>
      </c>
    </row>
    <row r="233" spans="1:13" x14ac:dyDescent="0.35">
      <c r="A233" s="1" t="s">
        <v>957</v>
      </c>
      <c r="B233" s="1" t="s">
        <v>958</v>
      </c>
      <c r="C233" s="1" t="s">
        <v>959</v>
      </c>
      <c r="D233" s="1" t="s">
        <v>16</v>
      </c>
      <c r="E233" s="1" t="s">
        <v>52</v>
      </c>
      <c r="F233" s="1" t="s">
        <v>960</v>
      </c>
      <c r="G233" s="1" t="s">
        <v>65</v>
      </c>
      <c r="H233" s="1" t="s">
        <v>77</v>
      </c>
      <c r="I233" s="1" t="s">
        <v>131</v>
      </c>
      <c r="J233" s="1" t="s">
        <v>21</v>
      </c>
      <c r="K233">
        <v>6500</v>
      </c>
      <c r="L233">
        <v>1186</v>
      </c>
      <c r="M233">
        <v>0</v>
      </c>
    </row>
    <row r="234" spans="1:13" x14ac:dyDescent="0.35">
      <c r="A234" s="1" t="s">
        <v>961</v>
      </c>
      <c r="B234" s="1" t="s">
        <v>962</v>
      </c>
      <c r="C234" s="1" t="s">
        <v>963</v>
      </c>
      <c r="D234" s="1" t="s">
        <v>93</v>
      </c>
      <c r="E234" s="1" t="s">
        <v>32</v>
      </c>
      <c r="F234" s="1" t="s">
        <v>964</v>
      </c>
      <c r="G234" s="1" t="s">
        <v>65</v>
      </c>
      <c r="H234" s="1" t="s">
        <v>42</v>
      </c>
      <c r="I234" s="1" t="s">
        <v>21</v>
      </c>
      <c r="J234" s="1" t="s">
        <v>71</v>
      </c>
      <c r="K234">
        <v>0</v>
      </c>
      <c r="L234">
        <v>4689</v>
      </c>
      <c r="M234">
        <v>1</v>
      </c>
    </row>
    <row r="235" spans="1:13" x14ac:dyDescent="0.35">
      <c r="A235" s="1" t="s">
        <v>965</v>
      </c>
      <c r="B235" s="1" t="s">
        <v>966</v>
      </c>
      <c r="C235" s="1" t="s">
        <v>967</v>
      </c>
      <c r="D235" s="1" t="s">
        <v>284</v>
      </c>
      <c r="E235" s="1" t="s">
        <v>94</v>
      </c>
      <c r="F235" s="1" t="s">
        <v>968</v>
      </c>
      <c r="G235" s="1" t="s">
        <v>126</v>
      </c>
      <c r="H235" s="1" t="s">
        <v>42</v>
      </c>
      <c r="I235" s="1" t="s">
        <v>21</v>
      </c>
      <c r="J235" s="1" t="s">
        <v>226</v>
      </c>
      <c r="K235">
        <v>1500</v>
      </c>
      <c r="L235">
        <v>4067</v>
      </c>
      <c r="M235">
        <v>0</v>
      </c>
    </row>
    <row r="236" spans="1:13" x14ac:dyDescent="0.35">
      <c r="A236" s="1" t="s">
        <v>969</v>
      </c>
      <c r="B236" s="1" t="s">
        <v>970</v>
      </c>
      <c r="C236" s="1" t="s">
        <v>971</v>
      </c>
      <c r="D236" s="1" t="s">
        <v>16</v>
      </c>
      <c r="E236" s="1" t="s">
        <v>32</v>
      </c>
      <c r="F236" s="1" t="s">
        <v>972</v>
      </c>
      <c r="G236" s="1" t="s">
        <v>65</v>
      </c>
      <c r="H236" s="1" t="s">
        <v>54</v>
      </c>
      <c r="I236" s="1" t="s">
        <v>21</v>
      </c>
      <c r="J236" s="1" t="s">
        <v>21</v>
      </c>
      <c r="K236">
        <v>0</v>
      </c>
      <c r="L236">
        <v>3294</v>
      </c>
      <c r="M236">
        <v>0</v>
      </c>
    </row>
    <row r="237" spans="1:13" x14ac:dyDescent="0.35">
      <c r="A237" s="1" t="s">
        <v>973</v>
      </c>
      <c r="B237" s="1" t="s">
        <v>974</v>
      </c>
      <c r="C237" s="1" t="s">
        <v>975</v>
      </c>
      <c r="D237" s="1" t="s">
        <v>25</v>
      </c>
      <c r="E237" s="1" t="s">
        <v>17</v>
      </c>
      <c r="F237" s="1" t="s">
        <v>976</v>
      </c>
      <c r="G237" s="1" t="s">
        <v>126</v>
      </c>
      <c r="H237" s="1" t="s">
        <v>20</v>
      </c>
      <c r="I237" s="1" t="s">
        <v>21</v>
      </c>
      <c r="J237" s="1" t="s">
        <v>79</v>
      </c>
      <c r="K237">
        <v>2500</v>
      </c>
      <c r="L237">
        <v>1345</v>
      </c>
      <c r="M237">
        <v>0</v>
      </c>
    </row>
    <row r="238" spans="1:13" x14ac:dyDescent="0.35">
      <c r="A238" s="1" t="s">
        <v>977</v>
      </c>
      <c r="B238" s="1" t="s">
        <v>978</v>
      </c>
      <c r="C238" s="1" t="s">
        <v>979</v>
      </c>
      <c r="D238" s="1" t="s">
        <v>135</v>
      </c>
      <c r="E238" s="1" t="s">
        <v>32</v>
      </c>
      <c r="F238" s="1" t="s">
        <v>980</v>
      </c>
      <c r="G238" s="1" t="s">
        <v>126</v>
      </c>
      <c r="H238" s="1" t="s">
        <v>77</v>
      </c>
      <c r="I238" s="1" t="s">
        <v>21</v>
      </c>
      <c r="J238" s="1" t="s">
        <v>71</v>
      </c>
      <c r="K238">
        <v>0</v>
      </c>
      <c r="L238">
        <v>67435</v>
      </c>
      <c r="M238">
        <v>1</v>
      </c>
    </row>
    <row r="239" spans="1:13" x14ac:dyDescent="0.35">
      <c r="A239" s="1" t="s">
        <v>981</v>
      </c>
      <c r="B239" s="1" t="s">
        <v>982</v>
      </c>
      <c r="C239" s="1" t="s">
        <v>983</v>
      </c>
      <c r="D239" s="1" t="s">
        <v>75</v>
      </c>
      <c r="E239" s="1" t="s">
        <v>39</v>
      </c>
      <c r="F239" s="1" t="s">
        <v>984</v>
      </c>
      <c r="G239" s="1" t="s">
        <v>381</v>
      </c>
      <c r="H239" s="1" t="s">
        <v>77</v>
      </c>
      <c r="I239" s="1" t="s">
        <v>21</v>
      </c>
      <c r="J239" s="1" t="s">
        <v>121</v>
      </c>
      <c r="K239">
        <v>7500</v>
      </c>
      <c r="L239">
        <v>1634</v>
      </c>
      <c r="M239">
        <v>0</v>
      </c>
    </row>
    <row r="240" spans="1:13" x14ac:dyDescent="0.35">
      <c r="A240" s="1" t="s">
        <v>985</v>
      </c>
      <c r="B240" s="1" t="s">
        <v>986</v>
      </c>
      <c r="C240" s="1" t="s">
        <v>987</v>
      </c>
      <c r="D240" s="1" t="s">
        <v>75</v>
      </c>
      <c r="E240" s="1" t="s">
        <v>17</v>
      </c>
      <c r="F240" s="1" t="s">
        <v>988</v>
      </c>
      <c r="G240" s="1" t="s">
        <v>126</v>
      </c>
      <c r="H240" s="1" t="s">
        <v>20</v>
      </c>
      <c r="I240" s="1" t="s">
        <v>21</v>
      </c>
      <c r="J240" s="1" t="s">
        <v>71</v>
      </c>
      <c r="K240">
        <v>2500</v>
      </c>
      <c r="L240">
        <v>3379</v>
      </c>
      <c r="M240">
        <v>0</v>
      </c>
    </row>
    <row r="241" spans="1:13" x14ac:dyDescent="0.35">
      <c r="A241" s="1" t="s">
        <v>989</v>
      </c>
      <c r="B241" s="1" t="s">
        <v>990</v>
      </c>
      <c r="C241" s="1" t="s">
        <v>991</v>
      </c>
      <c r="D241" s="1" t="s">
        <v>16</v>
      </c>
      <c r="E241" s="1" t="s">
        <v>17</v>
      </c>
      <c r="F241" s="1" t="s">
        <v>992</v>
      </c>
      <c r="G241" s="1" t="s">
        <v>126</v>
      </c>
      <c r="H241" s="1" t="s">
        <v>54</v>
      </c>
      <c r="I241" s="1" t="s">
        <v>21</v>
      </c>
      <c r="J241" s="1" t="s">
        <v>21</v>
      </c>
      <c r="K241">
        <v>2500</v>
      </c>
      <c r="L241">
        <v>4127</v>
      </c>
      <c r="M241">
        <v>0</v>
      </c>
    </row>
    <row r="242" spans="1:13" x14ac:dyDescent="0.35">
      <c r="A242" s="1" t="s">
        <v>993</v>
      </c>
      <c r="B242" s="1" t="s">
        <v>634</v>
      </c>
      <c r="C242" s="1" t="s">
        <v>994</v>
      </c>
      <c r="D242" s="1" t="s">
        <v>16</v>
      </c>
      <c r="E242" s="1" t="s">
        <v>17</v>
      </c>
      <c r="F242" s="1" t="s">
        <v>995</v>
      </c>
      <c r="G242" s="1" t="s">
        <v>126</v>
      </c>
      <c r="H242" s="1" t="s">
        <v>42</v>
      </c>
      <c r="I242" s="1" t="s">
        <v>21</v>
      </c>
      <c r="J242" s="1" t="s">
        <v>21</v>
      </c>
      <c r="K242">
        <v>2500</v>
      </c>
      <c r="L242">
        <v>4228</v>
      </c>
      <c r="M242">
        <v>0</v>
      </c>
    </row>
    <row r="243" spans="1:13" x14ac:dyDescent="0.35">
      <c r="A243" s="1" t="s">
        <v>996</v>
      </c>
      <c r="B243" s="1" t="s">
        <v>997</v>
      </c>
      <c r="C243" s="1" t="s">
        <v>998</v>
      </c>
      <c r="D243" s="1" t="s">
        <v>58</v>
      </c>
      <c r="E243" s="1" t="s">
        <v>17</v>
      </c>
      <c r="F243" s="1" t="s">
        <v>999</v>
      </c>
      <c r="G243" s="1" t="s">
        <v>65</v>
      </c>
      <c r="H243" s="1" t="s">
        <v>35</v>
      </c>
      <c r="I243" s="1" t="s">
        <v>21</v>
      </c>
      <c r="J243" s="1" t="s">
        <v>21</v>
      </c>
      <c r="K243">
        <v>2500</v>
      </c>
      <c r="L243">
        <v>79716</v>
      </c>
      <c r="M243">
        <v>1</v>
      </c>
    </row>
    <row r="244" spans="1:13" x14ac:dyDescent="0.35">
      <c r="A244" s="1" t="s">
        <v>1000</v>
      </c>
      <c r="B244" s="1" t="s">
        <v>1001</v>
      </c>
      <c r="C244" s="1" t="s">
        <v>1002</v>
      </c>
      <c r="D244" s="1" t="s">
        <v>16</v>
      </c>
      <c r="E244" s="1" t="s">
        <v>39</v>
      </c>
      <c r="F244" s="1" t="s">
        <v>1003</v>
      </c>
      <c r="G244" s="1" t="s">
        <v>126</v>
      </c>
      <c r="H244" s="1" t="s">
        <v>35</v>
      </c>
      <c r="I244" s="1" t="s">
        <v>21</v>
      </c>
      <c r="J244" s="1" t="s">
        <v>21</v>
      </c>
      <c r="K244">
        <v>7500</v>
      </c>
      <c r="L244">
        <v>1341</v>
      </c>
      <c r="M244">
        <v>0</v>
      </c>
    </row>
    <row r="245" spans="1:13" x14ac:dyDescent="0.35">
      <c r="A245" s="1" t="s">
        <v>1004</v>
      </c>
      <c r="B245" s="1" t="s">
        <v>1005</v>
      </c>
      <c r="C245" s="1" t="s">
        <v>1006</v>
      </c>
      <c r="D245" s="1" t="s">
        <v>75</v>
      </c>
      <c r="E245" s="1" t="s">
        <v>39</v>
      </c>
      <c r="F245" s="1" t="s">
        <v>21</v>
      </c>
      <c r="G245" s="1" t="s">
        <v>65</v>
      </c>
      <c r="H245" s="1" t="s">
        <v>96</v>
      </c>
      <c r="I245" s="1" t="s">
        <v>21</v>
      </c>
      <c r="J245" s="1" t="s">
        <v>21</v>
      </c>
      <c r="K245">
        <v>7500</v>
      </c>
      <c r="L245">
        <v>4690</v>
      </c>
      <c r="M245">
        <v>1</v>
      </c>
    </row>
    <row r="246" spans="1:13" x14ac:dyDescent="0.35">
      <c r="A246" s="1" t="s">
        <v>1007</v>
      </c>
      <c r="B246" s="1" t="s">
        <v>1008</v>
      </c>
      <c r="C246" s="1" t="s">
        <v>1009</v>
      </c>
      <c r="D246" s="1" t="s">
        <v>25</v>
      </c>
      <c r="E246" s="1" t="s">
        <v>39</v>
      </c>
      <c r="F246" s="1" t="s">
        <v>1010</v>
      </c>
      <c r="G246" s="1" t="s">
        <v>126</v>
      </c>
      <c r="H246" s="1" t="s">
        <v>77</v>
      </c>
      <c r="I246" s="1" t="s">
        <v>21</v>
      </c>
      <c r="J246" s="1" t="s">
        <v>121</v>
      </c>
      <c r="K246">
        <v>7500</v>
      </c>
      <c r="L246">
        <v>3541</v>
      </c>
      <c r="M246">
        <v>0</v>
      </c>
    </row>
    <row r="247" spans="1:13" x14ac:dyDescent="0.35">
      <c r="A247" s="1" t="s">
        <v>21</v>
      </c>
      <c r="B247" s="1" t="s">
        <v>21</v>
      </c>
      <c r="C247" s="1" t="s">
        <v>1011</v>
      </c>
      <c r="D247" s="1" t="s">
        <v>75</v>
      </c>
      <c r="E247" s="1" t="s">
        <v>52</v>
      </c>
      <c r="F247" s="1" t="s">
        <v>21</v>
      </c>
      <c r="G247" s="1" t="s">
        <v>21</v>
      </c>
      <c r="H247" s="1" t="s">
        <v>106</v>
      </c>
      <c r="I247" s="1" t="s">
        <v>21</v>
      </c>
      <c r="J247" s="1" t="s">
        <v>21</v>
      </c>
      <c r="M247">
        <v>0</v>
      </c>
    </row>
    <row r="248" spans="1:13" x14ac:dyDescent="0.35">
      <c r="A248" s="1" t="s">
        <v>1012</v>
      </c>
      <c r="B248" s="1" t="s">
        <v>1013</v>
      </c>
      <c r="C248" s="1" t="s">
        <v>1014</v>
      </c>
      <c r="D248" s="1" t="s">
        <v>16</v>
      </c>
      <c r="E248" s="1" t="s">
        <v>52</v>
      </c>
      <c r="F248" s="1" t="s">
        <v>1015</v>
      </c>
      <c r="G248" s="1" t="s">
        <v>126</v>
      </c>
      <c r="H248" s="1" t="s">
        <v>96</v>
      </c>
      <c r="I248" s="1" t="s">
        <v>66</v>
      </c>
      <c r="J248" s="1" t="s">
        <v>21</v>
      </c>
      <c r="K248">
        <v>6500</v>
      </c>
      <c r="L248">
        <v>3575</v>
      </c>
      <c r="M248">
        <v>0</v>
      </c>
    </row>
    <row r="249" spans="1:13" x14ac:dyDescent="0.35">
      <c r="A249" s="1" t="s">
        <v>1016</v>
      </c>
      <c r="B249" s="1" t="s">
        <v>1017</v>
      </c>
      <c r="C249" s="1" t="s">
        <v>1018</v>
      </c>
      <c r="D249" s="1" t="s">
        <v>110</v>
      </c>
      <c r="E249" s="1" t="s">
        <v>32</v>
      </c>
      <c r="F249" s="1" t="s">
        <v>1019</v>
      </c>
      <c r="G249" s="1" t="s">
        <v>41</v>
      </c>
      <c r="H249" s="1" t="s">
        <v>20</v>
      </c>
      <c r="I249" s="1" t="s">
        <v>21</v>
      </c>
      <c r="J249" s="1" t="s">
        <v>21</v>
      </c>
      <c r="K249">
        <v>0</v>
      </c>
      <c r="L249">
        <v>609</v>
      </c>
      <c r="M249">
        <v>0</v>
      </c>
    </row>
    <row r="250" spans="1:13" x14ac:dyDescent="0.35">
      <c r="A250" s="1" t="s">
        <v>1020</v>
      </c>
      <c r="B250" s="1" t="s">
        <v>1021</v>
      </c>
      <c r="C250" s="1" t="s">
        <v>1022</v>
      </c>
      <c r="D250" s="1" t="s">
        <v>75</v>
      </c>
      <c r="E250" s="1" t="s">
        <v>52</v>
      </c>
      <c r="F250" s="1" t="s">
        <v>1023</v>
      </c>
      <c r="G250" s="1" t="s">
        <v>126</v>
      </c>
      <c r="H250" s="1" t="s">
        <v>54</v>
      </c>
      <c r="I250" s="1" t="s">
        <v>1024</v>
      </c>
      <c r="J250" s="1" t="s">
        <v>71</v>
      </c>
      <c r="K250">
        <v>6500</v>
      </c>
      <c r="L250">
        <v>4240</v>
      </c>
      <c r="M250">
        <v>0</v>
      </c>
    </row>
    <row r="251" spans="1:13" x14ac:dyDescent="0.35">
      <c r="A251" s="1" t="s">
        <v>1025</v>
      </c>
      <c r="B251" s="1" t="s">
        <v>1026</v>
      </c>
      <c r="C251" s="1" t="s">
        <v>1027</v>
      </c>
      <c r="D251" s="1" t="s">
        <v>75</v>
      </c>
      <c r="E251" s="1" t="s">
        <v>94</v>
      </c>
      <c r="F251" s="1" t="s">
        <v>1028</v>
      </c>
      <c r="G251" s="1" t="s">
        <v>126</v>
      </c>
      <c r="H251" s="1" t="s">
        <v>42</v>
      </c>
      <c r="I251" s="1" t="s">
        <v>21</v>
      </c>
      <c r="J251" s="1" t="s">
        <v>121</v>
      </c>
      <c r="K251">
        <v>1500</v>
      </c>
      <c r="L251">
        <v>83331</v>
      </c>
      <c r="M251">
        <v>0</v>
      </c>
    </row>
    <row r="252" spans="1:13" x14ac:dyDescent="0.35">
      <c r="A252" s="1" t="s">
        <v>1029</v>
      </c>
      <c r="B252" s="1" t="s">
        <v>507</v>
      </c>
      <c r="C252" s="1" t="s">
        <v>1030</v>
      </c>
      <c r="D252" s="1" t="s">
        <v>16</v>
      </c>
      <c r="E252" s="1" t="s">
        <v>17</v>
      </c>
      <c r="F252" s="1" t="s">
        <v>1031</v>
      </c>
      <c r="G252" s="1" t="s">
        <v>126</v>
      </c>
      <c r="H252" s="1" t="s">
        <v>60</v>
      </c>
      <c r="I252" s="1" t="s">
        <v>21</v>
      </c>
      <c r="J252" s="1" t="s">
        <v>21</v>
      </c>
      <c r="K252">
        <v>2500</v>
      </c>
      <c r="L252">
        <v>2135</v>
      </c>
      <c r="M252">
        <v>0</v>
      </c>
    </row>
    <row r="253" spans="1:13" x14ac:dyDescent="0.35">
      <c r="A253" s="1" t="s">
        <v>1032</v>
      </c>
      <c r="B253" s="1" t="s">
        <v>866</v>
      </c>
      <c r="C253" s="1" t="s">
        <v>1033</v>
      </c>
      <c r="D253" s="1" t="s">
        <v>25</v>
      </c>
      <c r="E253" s="1" t="s">
        <v>94</v>
      </c>
      <c r="F253" s="1" t="s">
        <v>1034</v>
      </c>
      <c r="G253" s="1" t="s">
        <v>34</v>
      </c>
      <c r="H253" s="1" t="s">
        <v>77</v>
      </c>
      <c r="I253" s="1" t="s">
        <v>21</v>
      </c>
      <c r="J253" s="1" t="s">
        <v>79</v>
      </c>
      <c r="K253">
        <v>1500</v>
      </c>
      <c r="L253">
        <v>3783</v>
      </c>
      <c r="M253">
        <v>0</v>
      </c>
    </row>
    <row r="254" spans="1:13" x14ac:dyDescent="0.35">
      <c r="A254" s="1" t="s">
        <v>1035</v>
      </c>
      <c r="B254" s="1" t="s">
        <v>1036</v>
      </c>
      <c r="C254" s="1" t="s">
        <v>1037</v>
      </c>
      <c r="D254" s="1" t="s">
        <v>546</v>
      </c>
      <c r="E254" s="1" t="s">
        <v>32</v>
      </c>
      <c r="F254" s="1" t="s">
        <v>1038</v>
      </c>
      <c r="G254" s="1" t="s">
        <v>126</v>
      </c>
      <c r="H254" s="1" t="s">
        <v>96</v>
      </c>
      <c r="I254" s="1" t="s">
        <v>21</v>
      </c>
      <c r="J254" s="1" t="s">
        <v>71</v>
      </c>
      <c r="K254">
        <v>0</v>
      </c>
      <c r="L254">
        <v>3535</v>
      </c>
      <c r="M254">
        <v>1</v>
      </c>
    </row>
    <row r="255" spans="1:13" x14ac:dyDescent="0.35">
      <c r="A255" s="1" t="s">
        <v>1039</v>
      </c>
      <c r="B255" s="1" t="s">
        <v>1040</v>
      </c>
      <c r="C255" s="1" t="s">
        <v>1041</v>
      </c>
      <c r="D255" s="1" t="s">
        <v>16</v>
      </c>
      <c r="E255" s="1" t="s">
        <v>39</v>
      </c>
      <c r="F255" s="1" t="s">
        <v>1042</v>
      </c>
      <c r="G255" s="1" t="s">
        <v>264</v>
      </c>
      <c r="H255" s="1" t="s">
        <v>60</v>
      </c>
      <c r="I255" s="1" t="s">
        <v>21</v>
      </c>
      <c r="J255" s="1" t="s">
        <v>21</v>
      </c>
      <c r="K255">
        <v>7500</v>
      </c>
      <c r="L255">
        <v>994</v>
      </c>
      <c r="M255">
        <v>1</v>
      </c>
    </row>
    <row r="256" spans="1:13" x14ac:dyDescent="0.35">
      <c r="A256" s="1" t="s">
        <v>1043</v>
      </c>
      <c r="B256" s="1" t="s">
        <v>1044</v>
      </c>
      <c r="C256" s="1" t="s">
        <v>1045</v>
      </c>
      <c r="D256" s="1" t="s">
        <v>25</v>
      </c>
      <c r="E256" s="1" t="s">
        <v>39</v>
      </c>
      <c r="F256" s="1" t="s">
        <v>1046</v>
      </c>
      <c r="G256" s="1" t="s">
        <v>264</v>
      </c>
      <c r="H256" s="1" t="s">
        <v>42</v>
      </c>
      <c r="I256" s="1" t="s">
        <v>21</v>
      </c>
      <c r="J256" s="1" t="s">
        <v>21</v>
      </c>
      <c r="L256">
        <v>2400</v>
      </c>
      <c r="M256">
        <v>0</v>
      </c>
    </row>
    <row r="257" spans="1:13" x14ac:dyDescent="0.35">
      <c r="A257" s="1" t="s">
        <v>1047</v>
      </c>
      <c r="B257" s="1" t="s">
        <v>1048</v>
      </c>
      <c r="C257" s="1" t="s">
        <v>1049</v>
      </c>
      <c r="D257" s="1" t="s">
        <v>58</v>
      </c>
      <c r="E257" s="1" t="s">
        <v>52</v>
      </c>
      <c r="F257" s="1" t="s">
        <v>1050</v>
      </c>
      <c r="G257" s="1" t="s">
        <v>19</v>
      </c>
      <c r="H257" s="1" t="s">
        <v>77</v>
      </c>
      <c r="I257" s="1" t="s">
        <v>138</v>
      </c>
      <c r="J257" s="1" t="s">
        <v>21</v>
      </c>
      <c r="K257">
        <v>6500</v>
      </c>
      <c r="L257">
        <v>885</v>
      </c>
      <c r="M257">
        <v>0</v>
      </c>
    </row>
    <row r="258" spans="1:13" x14ac:dyDescent="0.35">
      <c r="A258" s="1" t="s">
        <v>1051</v>
      </c>
      <c r="B258" s="1" t="s">
        <v>1052</v>
      </c>
      <c r="C258" s="1" t="s">
        <v>1053</v>
      </c>
      <c r="D258" s="1" t="s">
        <v>16</v>
      </c>
      <c r="E258" s="1" t="s">
        <v>94</v>
      </c>
      <c r="F258" s="1" t="s">
        <v>1054</v>
      </c>
      <c r="G258" s="1" t="s">
        <v>126</v>
      </c>
      <c r="H258" s="1" t="s">
        <v>96</v>
      </c>
      <c r="I258" s="1" t="s">
        <v>21</v>
      </c>
      <c r="J258" s="1" t="s">
        <v>21</v>
      </c>
      <c r="K258">
        <v>1500</v>
      </c>
      <c r="L258">
        <v>561</v>
      </c>
      <c r="M258">
        <v>0</v>
      </c>
    </row>
    <row r="259" spans="1:13" x14ac:dyDescent="0.35">
      <c r="A259" s="1" t="s">
        <v>1055</v>
      </c>
      <c r="B259" s="1" t="s">
        <v>1056</v>
      </c>
      <c r="C259" s="1" t="s">
        <v>1057</v>
      </c>
      <c r="D259" s="1" t="s">
        <v>75</v>
      </c>
      <c r="E259" s="1" t="s">
        <v>17</v>
      </c>
      <c r="F259" s="1" t="s">
        <v>1058</v>
      </c>
      <c r="G259" s="1" t="s">
        <v>126</v>
      </c>
      <c r="H259" s="1" t="s">
        <v>77</v>
      </c>
      <c r="I259" s="1" t="s">
        <v>21</v>
      </c>
      <c r="J259" s="1" t="s">
        <v>79</v>
      </c>
      <c r="K259">
        <v>2500</v>
      </c>
      <c r="L259">
        <v>2963</v>
      </c>
      <c r="M259">
        <v>0</v>
      </c>
    </row>
    <row r="260" spans="1:13" x14ac:dyDescent="0.35">
      <c r="A260" s="1" t="s">
        <v>1059</v>
      </c>
      <c r="B260" s="1" t="s">
        <v>1060</v>
      </c>
      <c r="C260" s="1" t="s">
        <v>1061</v>
      </c>
      <c r="D260" s="1" t="s">
        <v>75</v>
      </c>
      <c r="E260" s="1" t="s">
        <v>17</v>
      </c>
      <c r="F260" s="1" t="s">
        <v>1062</v>
      </c>
      <c r="G260" s="1" t="s">
        <v>41</v>
      </c>
      <c r="H260" s="1" t="s">
        <v>42</v>
      </c>
      <c r="I260" s="1" t="s">
        <v>21</v>
      </c>
      <c r="J260" s="1" t="s">
        <v>79</v>
      </c>
      <c r="K260">
        <v>2500</v>
      </c>
      <c r="L260">
        <v>4573</v>
      </c>
      <c r="M260">
        <v>0</v>
      </c>
    </row>
    <row r="261" spans="1:13" x14ac:dyDescent="0.35">
      <c r="A261" s="1" t="s">
        <v>1063</v>
      </c>
      <c r="B261" s="1" t="s">
        <v>1064</v>
      </c>
      <c r="C261" s="1" t="s">
        <v>1065</v>
      </c>
      <c r="D261" s="1" t="s">
        <v>58</v>
      </c>
      <c r="E261" s="1" t="s">
        <v>52</v>
      </c>
      <c r="F261" s="1" t="s">
        <v>1066</v>
      </c>
      <c r="G261" s="1" t="s">
        <v>126</v>
      </c>
      <c r="H261" s="1" t="s">
        <v>106</v>
      </c>
      <c r="I261" s="1" t="s">
        <v>78</v>
      </c>
      <c r="J261" s="1" t="s">
        <v>21</v>
      </c>
      <c r="K261">
        <v>6500</v>
      </c>
      <c r="L261">
        <v>2918</v>
      </c>
      <c r="M261">
        <v>0</v>
      </c>
    </row>
    <row r="262" spans="1:13" x14ac:dyDescent="0.35">
      <c r="A262" s="1" t="s">
        <v>1067</v>
      </c>
      <c r="B262" s="1" t="s">
        <v>1068</v>
      </c>
      <c r="C262" s="1" t="s">
        <v>1069</v>
      </c>
      <c r="D262" s="1" t="s">
        <v>75</v>
      </c>
      <c r="E262" s="1" t="s">
        <v>94</v>
      </c>
      <c r="F262" s="1" t="s">
        <v>1070</v>
      </c>
      <c r="G262" s="1" t="s">
        <v>27</v>
      </c>
      <c r="H262" s="1" t="s">
        <v>60</v>
      </c>
      <c r="I262" s="1" t="s">
        <v>21</v>
      </c>
      <c r="J262" s="1" t="s">
        <v>226</v>
      </c>
      <c r="K262">
        <v>1500</v>
      </c>
      <c r="L262">
        <v>974</v>
      </c>
      <c r="M262">
        <v>0</v>
      </c>
    </row>
    <row r="263" spans="1:13" x14ac:dyDescent="0.35">
      <c r="A263" s="1" t="s">
        <v>1071</v>
      </c>
      <c r="B263" s="1" t="s">
        <v>1072</v>
      </c>
      <c r="C263" s="1" t="s">
        <v>1073</v>
      </c>
      <c r="D263" s="1" t="s">
        <v>16</v>
      </c>
      <c r="E263" s="1" t="s">
        <v>52</v>
      </c>
      <c r="F263" s="1" t="s">
        <v>1074</v>
      </c>
      <c r="G263" s="1" t="s">
        <v>41</v>
      </c>
      <c r="H263" s="1" t="s">
        <v>42</v>
      </c>
      <c r="I263" s="1" t="s">
        <v>112</v>
      </c>
      <c r="J263" s="1" t="s">
        <v>21</v>
      </c>
      <c r="K263">
        <v>6500</v>
      </c>
      <c r="L263">
        <v>1989</v>
      </c>
      <c r="M263">
        <v>1</v>
      </c>
    </row>
    <row r="264" spans="1:13" x14ac:dyDescent="0.35">
      <c r="A264" s="1" t="s">
        <v>1075</v>
      </c>
      <c r="B264" s="1" t="s">
        <v>1076</v>
      </c>
      <c r="C264" s="1" t="s">
        <v>1077</v>
      </c>
      <c r="D264" s="1" t="s">
        <v>25</v>
      </c>
      <c r="E264" s="1" t="s">
        <v>52</v>
      </c>
      <c r="F264" s="1" t="s">
        <v>1078</v>
      </c>
      <c r="G264" s="1" t="s">
        <v>41</v>
      </c>
      <c r="H264" s="1" t="s">
        <v>96</v>
      </c>
      <c r="I264" s="1" t="s">
        <v>291</v>
      </c>
      <c r="J264" s="1" t="s">
        <v>286</v>
      </c>
      <c r="K264">
        <v>6500</v>
      </c>
      <c r="L264">
        <v>855</v>
      </c>
      <c r="M264">
        <v>0</v>
      </c>
    </row>
    <row r="265" spans="1:13" x14ac:dyDescent="0.35">
      <c r="A265" s="1" t="s">
        <v>1079</v>
      </c>
      <c r="B265" s="1" t="s">
        <v>1080</v>
      </c>
      <c r="C265" s="1" t="s">
        <v>1081</v>
      </c>
      <c r="D265" s="1" t="s">
        <v>284</v>
      </c>
      <c r="E265" s="1" t="s">
        <v>39</v>
      </c>
      <c r="F265" s="1" t="s">
        <v>1082</v>
      </c>
      <c r="G265" s="1" t="s">
        <v>89</v>
      </c>
      <c r="H265" s="1" t="s">
        <v>20</v>
      </c>
      <c r="I265" s="1" t="s">
        <v>21</v>
      </c>
      <c r="J265" s="1" t="s">
        <v>21</v>
      </c>
      <c r="K265">
        <v>7500</v>
      </c>
      <c r="L265">
        <v>1833</v>
      </c>
      <c r="M265">
        <v>0</v>
      </c>
    </row>
    <row r="266" spans="1:13" x14ac:dyDescent="0.35">
      <c r="A266" s="1" t="s">
        <v>1083</v>
      </c>
      <c r="B266" s="1" t="s">
        <v>1084</v>
      </c>
      <c r="C266" s="1" t="s">
        <v>1085</v>
      </c>
      <c r="D266" s="1" t="s">
        <v>75</v>
      </c>
      <c r="E266" s="1" t="s">
        <v>17</v>
      </c>
      <c r="F266" s="1" t="s">
        <v>1086</v>
      </c>
      <c r="G266" s="1" t="s">
        <v>65</v>
      </c>
      <c r="H266" s="1" t="s">
        <v>96</v>
      </c>
      <c r="I266" s="1" t="s">
        <v>21</v>
      </c>
      <c r="J266" s="1" t="s">
        <v>79</v>
      </c>
      <c r="K266">
        <v>2500</v>
      </c>
      <c r="L266">
        <v>1782</v>
      </c>
      <c r="M266">
        <v>1</v>
      </c>
    </row>
    <row r="267" spans="1:13" x14ac:dyDescent="0.35">
      <c r="A267" s="1" t="s">
        <v>1087</v>
      </c>
      <c r="B267" s="1" t="s">
        <v>1088</v>
      </c>
      <c r="C267" s="1" t="s">
        <v>1089</v>
      </c>
      <c r="D267" s="1" t="s">
        <v>16</v>
      </c>
      <c r="E267" s="1" t="s">
        <v>17</v>
      </c>
      <c r="F267" s="1" t="s">
        <v>1090</v>
      </c>
      <c r="G267" s="1" t="s">
        <v>137</v>
      </c>
      <c r="H267" s="1" t="s">
        <v>54</v>
      </c>
      <c r="I267" s="1" t="s">
        <v>21</v>
      </c>
      <c r="J267" s="1" t="s">
        <v>21</v>
      </c>
      <c r="K267">
        <v>2500</v>
      </c>
      <c r="L267">
        <v>3859</v>
      </c>
      <c r="M267">
        <v>0</v>
      </c>
    </row>
    <row r="268" spans="1:13" x14ac:dyDescent="0.35">
      <c r="A268" s="1" t="s">
        <v>1091</v>
      </c>
      <c r="B268" s="1" t="s">
        <v>1092</v>
      </c>
      <c r="C268" s="1" t="s">
        <v>1093</v>
      </c>
      <c r="D268" s="1" t="s">
        <v>25</v>
      </c>
      <c r="E268" s="1" t="s">
        <v>94</v>
      </c>
      <c r="F268" s="1" t="s">
        <v>1094</v>
      </c>
      <c r="G268" s="1" t="s">
        <v>381</v>
      </c>
      <c r="H268" s="1" t="s">
        <v>42</v>
      </c>
      <c r="I268" s="1" t="s">
        <v>21</v>
      </c>
      <c r="J268" s="1" t="s">
        <v>208</v>
      </c>
      <c r="K268">
        <v>1500</v>
      </c>
      <c r="L268">
        <v>1366</v>
      </c>
      <c r="M268">
        <v>0</v>
      </c>
    </row>
    <row r="269" spans="1:13" x14ac:dyDescent="0.35">
      <c r="A269" s="1" t="s">
        <v>1095</v>
      </c>
      <c r="B269" s="1" t="s">
        <v>1096</v>
      </c>
      <c r="C269" s="1" t="s">
        <v>1097</v>
      </c>
      <c r="D269" s="1" t="s">
        <v>16</v>
      </c>
      <c r="E269" s="1" t="s">
        <v>94</v>
      </c>
      <c r="F269" s="1" t="s">
        <v>1098</v>
      </c>
      <c r="G269" s="1" t="s">
        <v>65</v>
      </c>
      <c r="H269" s="1" t="s">
        <v>77</v>
      </c>
      <c r="I269" s="1" t="s">
        <v>21</v>
      </c>
      <c r="J269" s="1" t="s">
        <v>21</v>
      </c>
      <c r="K269">
        <v>1500</v>
      </c>
      <c r="L269">
        <v>2672</v>
      </c>
      <c r="M269">
        <v>0</v>
      </c>
    </row>
    <row r="270" spans="1:13" x14ac:dyDescent="0.35">
      <c r="A270" s="1" t="s">
        <v>1099</v>
      </c>
      <c r="B270" s="1" t="s">
        <v>1100</v>
      </c>
      <c r="C270" s="1" t="s">
        <v>1101</v>
      </c>
      <c r="D270" s="1" t="s">
        <v>135</v>
      </c>
      <c r="E270" s="1" t="s">
        <v>94</v>
      </c>
      <c r="F270" s="1" t="s">
        <v>1102</v>
      </c>
      <c r="G270" s="1" t="s">
        <v>41</v>
      </c>
      <c r="H270" s="1" t="s">
        <v>77</v>
      </c>
      <c r="I270" s="1" t="s">
        <v>21</v>
      </c>
      <c r="J270" s="1" t="s">
        <v>79</v>
      </c>
      <c r="K270">
        <v>1500</v>
      </c>
      <c r="L270">
        <v>3464</v>
      </c>
      <c r="M270">
        <v>0</v>
      </c>
    </row>
    <row r="271" spans="1:13" x14ac:dyDescent="0.35">
      <c r="A271" s="1" t="s">
        <v>1103</v>
      </c>
      <c r="B271" s="1" t="s">
        <v>1104</v>
      </c>
      <c r="C271" s="1" t="s">
        <v>1105</v>
      </c>
      <c r="D271" s="1" t="s">
        <v>75</v>
      </c>
      <c r="E271" s="1" t="s">
        <v>94</v>
      </c>
      <c r="F271" s="1" t="s">
        <v>1106</v>
      </c>
      <c r="G271" s="1" t="s">
        <v>89</v>
      </c>
      <c r="H271" s="1" t="s">
        <v>77</v>
      </c>
      <c r="I271" s="1" t="s">
        <v>21</v>
      </c>
      <c r="J271" s="1" t="s">
        <v>71</v>
      </c>
      <c r="K271">
        <v>1500</v>
      </c>
      <c r="L271">
        <v>1864</v>
      </c>
      <c r="M271">
        <v>0</v>
      </c>
    </row>
    <row r="272" spans="1:13" x14ac:dyDescent="0.35">
      <c r="A272" s="1" t="s">
        <v>1107</v>
      </c>
      <c r="B272" s="1" t="s">
        <v>1108</v>
      </c>
      <c r="C272" s="1" t="s">
        <v>1109</v>
      </c>
      <c r="D272" s="1" t="s">
        <v>58</v>
      </c>
      <c r="E272" s="1" t="s">
        <v>94</v>
      </c>
      <c r="F272" s="1" t="s">
        <v>1110</v>
      </c>
      <c r="G272" s="1" t="s">
        <v>19</v>
      </c>
      <c r="H272" s="1" t="s">
        <v>77</v>
      </c>
      <c r="I272" s="1" t="s">
        <v>21</v>
      </c>
      <c r="J272" s="1" t="s">
        <v>21</v>
      </c>
      <c r="K272">
        <v>1500</v>
      </c>
      <c r="L272">
        <v>4880</v>
      </c>
      <c r="M272">
        <v>0</v>
      </c>
    </row>
    <row r="273" spans="1:13" x14ac:dyDescent="0.35">
      <c r="A273" s="1" t="s">
        <v>1111</v>
      </c>
      <c r="B273" s="1" t="s">
        <v>1112</v>
      </c>
      <c r="C273" s="1" t="s">
        <v>1113</v>
      </c>
      <c r="D273" s="1" t="s">
        <v>25</v>
      </c>
      <c r="E273" s="1" t="s">
        <v>32</v>
      </c>
      <c r="F273" s="1" t="s">
        <v>1114</v>
      </c>
      <c r="G273" s="1" t="s">
        <v>65</v>
      </c>
      <c r="H273" s="1" t="s">
        <v>60</v>
      </c>
      <c r="I273" s="1" t="s">
        <v>21</v>
      </c>
      <c r="J273" s="1" t="s">
        <v>21</v>
      </c>
      <c r="K273">
        <v>0</v>
      </c>
      <c r="L273">
        <v>1803</v>
      </c>
      <c r="M273">
        <v>0</v>
      </c>
    </row>
    <row r="274" spans="1:13" x14ac:dyDescent="0.35">
      <c r="A274" s="1" t="s">
        <v>1115</v>
      </c>
      <c r="B274" s="1" t="s">
        <v>1116</v>
      </c>
      <c r="C274" s="1" t="s">
        <v>1117</v>
      </c>
      <c r="D274" s="1" t="s">
        <v>16</v>
      </c>
      <c r="E274" s="1" t="s">
        <v>52</v>
      </c>
      <c r="F274" s="1" t="s">
        <v>1118</v>
      </c>
      <c r="G274" s="1" t="s">
        <v>65</v>
      </c>
      <c r="H274" s="1" t="s">
        <v>20</v>
      </c>
      <c r="I274" s="1" t="s">
        <v>291</v>
      </c>
      <c r="J274" s="1" t="s">
        <v>21</v>
      </c>
      <c r="K274">
        <v>6500</v>
      </c>
      <c r="L274">
        <v>3275</v>
      </c>
      <c r="M274">
        <v>0</v>
      </c>
    </row>
    <row r="275" spans="1:13" x14ac:dyDescent="0.35">
      <c r="A275" s="1" t="s">
        <v>1119</v>
      </c>
      <c r="B275" s="1" t="s">
        <v>1120</v>
      </c>
      <c r="C275" s="1" t="s">
        <v>1121</v>
      </c>
      <c r="D275" s="1" t="s">
        <v>16</v>
      </c>
      <c r="E275" s="1" t="s">
        <v>94</v>
      </c>
      <c r="F275" s="1" t="s">
        <v>1122</v>
      </c>
      <c r="G275" s="1" t="s">
        <v>41</v>
      </c>
      <c r="H275" s="1" t="s">
        <v>77</v>
      </c>
      <c r="I275" s="1" t="s">
        <v>21</v>
      </c>
      <c r="J275" s="1" t="s">
        <v>21</v>
      </c>
      <c r="K275">
        <v>1500</v>
      </c>
      <c r="L275">
        <v>1639</v>
      </c>
      <c r="M275">
        <v>0</v>
      </c>
    </row>
    <row r="276" spans="1:13" x14ac:dyDescent="0.35">
      <c r="A276" s="1" t="s">
        <v>1123</v>
      </c>
      <c r="B276" s="1" t="s">
        <v>1124</v>
      </c>
      <c r="C276" s="1" t="s">
        <v>1125</v>
      </c>
      <c r="D276" s="1" t="s">
        <v>75</v>
      </c>
      <c r="E276" s="1" t="s">
        <v>17</v>
      </c>
      <c r="F276" s="1" t="s">
        <v>1126</v>
      </c>
      <c r="G276" s="1" t="s">
        <v>41</v>
      </c>
      <c r="H276" s="1" t="s">
        <v>42</v>
      </c>
      <c r="I276" s="1" t="s">
        <v>21</v>
      </c>
      <c r="J276" s="1" t="s">
        <v>21</v>
      </c>
      <c r="K276">
        <v>2500</v>
      </c>
      <c r="L276">
        <v>4828</v>
      </c>
      <c r="M276">
        <v>0</v>
      </c>
    </row>
    <row r="277" spans="1:13" x14ac:dyDescent="0.35">
      <c r="A277" s="1" t="s">
        <v>1127</v>
      </c>
      <c r="B277" s="1" t="s">
        <v>1128</v>
      </c>
      <c r="C277" s="1" t="s">
        <v>1129</v>
      </c>
      <c r="D277" s="1" t="s">
        <v>75</v>
      </c>
      <c r="E277" s="1" t="s">
        <v>32</v>
      </c>
      <c r="F277" s="1" t="s">
        <v>1130</v>
      </c>
      <c r="G277" s="1" t="s">
        <v>137</v>
      </c>
      <c r="H277" s="1" t="s">
        <v>20</v>
      </c>
      <c r="I277" s="1" t="s">
        <v>21</v>
      </c>
      <c r="J277" s="1" t="s">
        <v>79</v>
      </c>
      <c r="K277">
        <v>0</v>
      </c>
      <c r="L277">
        <v>4981</v>
      </c>
      <c r="M277">
        <v>1</v>
      </c>
    </row>
    <row r="278" spans="1:13" x14ac:dyDescent="0.35">
      <c r="A278" s="1" t="s">
        <v>1131</v>
      </c>
      <c r="B278" s="1" t="s">
        <v>1132</v>
      </c>
      <c r="C278" s="1" t="s">
        <v>1133</v>
      </c>
      <c r="D278" s="1" t="s">
        <v>16</v>
      </c>
      <c r="E278" s="1" t="s">
        <v>39</v>
      </c>
      <c r="F278" s="1" t="s">
        <v>1134</v>
      </c>
      <c r="G278" s="1" t="s">
        <v>41</v>
      </c>
      <c r="H278" s="1" t="s">
        <v>42</v>
      </c>
      <c r="I278" s="1" t="s">
        <v>21</v>
      </c>
      <c r="J278" s="1" t="s">
        <v>21</v>
      </c>
      <c r="K278">
        <v>7500</v>
      </c>
      <c r="M278">
        <v>0</v>
      </c>
    </row>
    <row r="279" spans="1:13" x14ac:dyDescent="0.35">
      <c r="A279" s="1" t="s">
        <v>1135</v>
      </c>
      <c r="B279" s="1" t="s">
        <v>1136</v>
      </c>
      <c r="C279" s="1" t="s">
        <v>1137</v>
      </c>
      <c r="D279" s="1" t="s">
        <v>110</v>
      </c>
      <c r="E279" s="1" t="s">
        <v>32</v>
      </c>
      <c r="F279" s="1" t="s">
        <v>1138</v>
      </c>
      <c r="G279" s="1" t="s">
        <v>65</v>
      </c>
      <c r="H279" s="1" t="s">
        <v>54</v>
      </c>
      <c r="I279" s="1" t="s">
        <v>21</v>
      </c>
      <c r="J279" s="1" t="s">
        <v>21</v>
      </c>
      <c r="K279">
        <v>0</v>
      </c>
      <c r="L279">
        <v>2492</v>
      </c>
      <c r="M279">
        <v>0</v>
      </c>
    </row>
    <row r="280" spans="1:13" x14ac:dyDescent="0.35">
      <c r="A280" s="1" t="s">
        <v>1139</v>
      </c>
      <c r="B280" s="1" t="s">
        <v>1140</v>
      </c>
      <c r="C280" s="1" t="s">
        <v>1141</v>
      </c>
      <c r="D280" s="1" t="s">
        <v>25</v>
      </c>
      <c r="E280" s="1" t="s">
        <v>94</v>
      </c>
      <c r="F280" s="1" t="s">
        <v>1142</v>
      </c>
      <c r="G280" s="1" t="s">
        <v>48</v>
      </c>
      <c r="H280" s="1" t="s">
        <v>77</v>
      </c>
      <c r="I280" s="1" t="s">
        <v>21</v>
      </c>
      <c r="J280" s="1" t="s">
        <v>79</v>
      </c>
      <c r="K280">
        <v>1500</v>
      </c>
      <c r="L280">
        <v>3328</v>
      </c>
      <c r="M280">
        <v>0</v>
      </c>
    </row>
    <row r="281" spans="1:13" x14ac:dyDescent="0.35">
      <c r="A281" s="1" t="s">
        <v>1143</v>
      </c>
      <c r="B281" s="1" t="s">
        <v>1144</v>
      </c>
      <c r="C281" s="1" t="s">
        <v>1145</v>
      </c>
      <c r="D281" s="1" t="s">
        <v>25</v>
      </c>
      <c r="E281" s="1" t="s">
        <v>94</v>
      </c>
      <c r="F281" s="1" t="s">
        <v>1146</v>
      </c>
      <c r="G281" s="1" t="s">
        <v>41</v>
      </c>
      <c r="H281" s="1" t="s">
        <v>54</v>
      </c>
      <c r="I281" s="1" t="s">
        <v>21</v>
      </c>
      <c r="J281" s="1" t="s">
        <v>21</v>
      </c>
      <c r="K281">
        <v>1500</v>
      </c>
      <c r="L281">
        <v>4443</v>
      </c>
      <c r="M281">
        <v>0</v>
      </c>
    </row>
    <row r="282" spans="1:13" x14ac:dyDescent="0.35">
      <c r="A282" s="1" t="s">
        <v>1147</v>
      </c>
      <c r="B282" s="1" t="s">
        <v>1148</v>
      </c>
      <c r="C282" s="1" t="s">
        <v>1149</v>
      </c>
      <c r="D282" s="1" t="s">
        <v>546</v>
      </c>
      <c r="E282" s="1" t="s">
        <v>94</v>
      </c>
      <c r="F282" s="1" t="s">
        <v>1150</v>
      </c>
      <c r="G282" s="1" t="s">
        <v>65</v>
      </c>
      <c r="H282" s="1" t="s">
        <v>20</v>
      </c>
      <c r="I282" s="1" t="s">
        <v>21</v>
      </c>
      <c r="J282" s="1" t="s">
        <v>71</v>
      </c>
      <c r="K282">
        <v>1500</v>
      </c>
      <c r="L282">
        <v>2251</v>
      </c>
      <c r="M282">
        <v>0</v>
      </c>
    </row>
    <row r="283" spans="1:13" x14ac:dyDescent="0.35">
      <c r="A283" s="1" t="s">
        <v>1151</v>
      </c>
      <c r="B283" s="1" t="s">
        <v>1152</v>
      </c>
      <c r="C283" s="1" t="s">
        <v>1153</v>
      </c>
      <c r="D283" s="1" t="s">
        <v>16</v>
      </c>
      <c r="E283" s="1" t="s">
        <v>32</v>
      </c>
      <c r="F283" s="1" t="s">
        <v>1154</v>
      </c>
      <c r="G283" s="1" t="s">
        <v>65</v>
      </c>
      <c r="H283" s="1" t="s">
        <v>96</v>
      </c>
      <c r="I283" s="1" t="s">
        <v>21</v>
      </c>
      <c r="J283" s="1" t="s">
        <v>21</v>
      </c>
      <c r="K283">
        <v>0</v>
      </c>
      <c r="L283">
        <v>4589</v>
      </c>
      <c r="M283">
        <v>1</v>
      </c>
    </row>
    <row r="284" spans="1:13" x14ac:dyDescent="0.35">
      <c r="A284" s="1" t="s">
        <v>21</v>
      </c>
      <c r="B284" s="1" t="s">
        <v>21</v>
      </c>
      <c r="C284" s="1" t="s">
        <v>1155</v>
      </c>
      <c r="D284" s="1" t="s">
        <v>16</v>
      </c>
      <c r="E284" s="1" t="s">
        <v>52</v>
      </c>
      <c r="F284" s="1" t="s">
        <v>21</v>
      </c>
      <c r="G284" s="1" t="s">
        <v>21</v>
      </c>
      <c r="H284" s="1" t="s">
        <v>54</v>
      </c>
      <c r="I284" s="1" t="s">
        <v>21</v>
      </c>
      <c r="J284" s="1" t="s">
        <v>21</v>
      </c>
      <c r="M284">
        <v>0</v>
      </c>
    </row>
    <row r="285" spans="1:13" x14ac:dyDescent="0.35">
      <c r="A285" s="1" t="s">
        <v>1156</v>
      </c>
      <c r="B285" s="1" t="s">
        <v>1157</v>
      </c>
      <c r="C285" s="1" t="s">
        <v>1158</v>
      </c>
      <c r="D285" s="1" t="s">
        <v>135</v>
      </c>
      <c r="E285" s="1" t="s">
        <v>39</v>
      </c>
      <c r="F285" s="1" t="s">
        <v>1159</v>
      </c>
      <c r="G285" s="1" t="s">
        <v>65</v>
      </c>
      <c r="H285" s="1" t="s">
        <v>77</v>
      </c>
      <c r="I285" s="1" t="s">
        <v>21</v>
      </c>
      <c r="J285" s="1" t="s">
        <v>21</v>
      </c>
      <c r="K285">
        <v>7500</v>
      </c>
      <c r="L285">
        <v>4397</v>
      </c>
      <c r="M285">
        <v>0</v>
      </c>
    </row>
    <row r="286" spans="1:13" x14ac:dyDescent="0.35">
      <c r="A286" s="1" t="s">
        <v>1160</v>
      </c>
      <c r="B286" s="1" t="s">
        <v>1161</v>
      </c>
      <c r="C286" s="1" t="s">
        <v>1162</v>
      </c>
      <c r="D286" s="1" t="s">
        <v>284</v>
      </c>
      <c r="E286" s="1" t="s">
        <v>17</v>
      </c>
      <c r="F286" s="1" t="s">
        <v>1163</v>
      </c>
      <c r="G286" s="1" t="s">
        <v>105</v>
      </c>
      <c r="H286" s="1" t="s">
        <v>106</v>
      </c>
      <c r="I286" s="1" t="s">
        <v>21</v>
      </c>
      <c r="J286" s="1" t="s">
        <v>121</v>
      </c>
      <c r="K286">
        <v>2500</v>
      </c>
      <c r="L286">
        <v>2323</v>
      </c>
      <c r="M286">
        <v>0</v>
      </c>
    </row>
    <row r="287" spans="1:13" x14ac:dyDescent="0.35">
      <c r="A287" s="1" t="s">
        <v>1164</v>
      </c>
      <c r="B287" s="1" t="s">
        <v>1165</v>
      </c>
      <c r="C287" s="1" t="s">
        <v>1166</v>
      </c>
      <c r="D287" s="1" t="s">
        <v>25</v>
      </c>
      <c r="E287" s="1" t="s">
        <v>32</v>
      </c>
      <c r="F287" s="1" t="s">
        <v>1167</v>
      </c>
      <c r="G287" s="1" t="s">
        <v>41</v>
      </c>
      <c r="H287" s="1" t="s">
        <v>77</v>
      </c>
      <c r="I287" s="1" t="s">
        <v>21</v>
      </c>
      <c r="J287" s="1" t="s">
        <v>121</v>
      </c>
      <c r="K287">
        <v>0</v>
      </c>
      <c r="L287">
        <v>3797</v>
      </c>
      <c r="M287">
        <v>0</v>
      </c>
    </row>
    <row r="288" spans="1:13" x14ac:dyDescent="0.35">
      <c r="A288" s="1" t="s">
        <v>1168</v>
      </c>
      <c r="B288" s="1" t="s">
        <v>1169</v>
      </c>
      <c r="C288" s="1" t="s">
        <v>1170</v>
      </c>
      <c r="D288" s="1" t="s">
        <v>25</v>
      </c>
      <c r="E288" s="1" t="s">
        <v>52</v>
      </c>
      <c r="F288" s="1" t="s">
        <v>1171</v>
      </c>
      <c r="G288" s="1" t="s">
        <v>126</v>
      </c>
      <c r="H288" s="1" t="s">
        <v>96</v>
      </c>
      <c r="I288" s="1" t="s">
        <v>131</v>
      </c>
      <c r="J288" s="1" t="s">
        <v>121</v>
      </c>
      <c r="K288">
        <v>6500</v>
      </c>
      <c r="L288">
        <v>3481</v>
      </c>
      <c r="M288">
        <v>0</v>
      </c>
    </row>
    <row r="289" spans="1:13" x14ac:dyDescent="0.35">
      <c r="A289" s="1" t="s">
        <v>1172</v>
      </c>
      <c r="B289" s="1" t="s">
        <v>1173</v>
      </c>
      <c r="C289" s="1" t="s">
        <v>1174</v>
      </c>
      <c r="D289" s="1" t="s">
        <v>16</v>
      </c>
      <c r="E289" s="1" t="s">
        <v>94</v>
      </c>
      <c r="F289" s="1" t="s">
        <v>1175</v>
      </c>
      <c r="G289" s="1" t="s">
        <v>41</v>
      </c>
      <c r="H289" s="1" t="s">
        <v>77</v>
      </c>
      <c r="I289" s="1" t="s">
        <v>21</v>
      </c>
      <c r="J289" s="1" t="s">
        <v>21</v>
      </c>
      <c r="K289">
        <v>1500</v>
      </c>
      <c r="L289">
        <v>2579</v>
      </c>
      <c r="M289">
        <v>0</v>
      </c>
    </row>
    <row r="290" spans="1:13" x14ac:dyDescent="0.35">
      <c r="A290" s="1" t="s">
        <v>1176</v>
      </c>
      <c r="B290" s="1" t="s">
        <v>1177</v>
      </c>
      <c r="C290" s="1" t="s">
        <v>1178</v>
      </c>
      <c r="D290" s="1" t="s">
        <v>75</v>
      </c>
      <c r="E290" s="1" t="s">
        <v>52</v>
      </c>
      <c r="F290" s="1" t="s">
        <v>1179</v>
      </c>
      <c r="G290" s="1" t="s">
        <v>89</v>
      </c>
      <c r="H290" s="1" t="s">
        <v>35</v>
      </c>
      <c r="I290" s="1" t="s">
        <v>112</v>
      </c>
      <c r="J290" s="1" t="s">
        <v>21</v>
      </c>
      <c r="K290">
        <v>6500</v>
      </c>
      <c r="L290">
        <v>2674</v>
      </c>
      <c r="M290">
        <v>1</v>
      </c>
    </row>
    <row r="291" spans="1:13" x14ac:dyDescent="0.35">
      <c r="A291" s="1" t="s">
        <v>1180</v>
      </c>
      <c r="B291" s="1" t="s">
        <v>1181</v>
      </c>
      <c r="C291" s="1" t="s">
        <v>1182</v>
      </c>
      <c r="D291" s="1" t="s">
        <v>75</v>
      </c>
      <c r="E291" s="1" t="s">
        <v>32</v>
      </c>
      <c r="F291" s="1" t="s">
        <v>1183</v>
      </c>
      <c r="G291" s="1" t="s">
        <v>105</v>
      </c>
      <c r="H291" s="1" t="s">
        <v>60</v>
      </c>
      <c r="I291" s="1" t="s">
        <v>21</v>
      </c>
      <c r="J291" s="1" t="s">
        <v>79</v>
      </c>
      <c r="L291">
        <v>849</v>
      </c>
      <c r="M291">
        <v>0</v>
      </c>
    </row>
    <row r="292" spans="1:13" x14ac:dyDescent="0.35">
      <c r="A292" s="1" t="s">
        <v>1184</v>
      </c>
      <c r="B292" s="1" t="s">
        <v>1185</v>
      </c>
      <c r="C292" s="1" t="s">
        <v>1186</v>
      </c>
      <c r="D292" s="1" t="s">
        <v>58</v>
      </c>
      <c r="E292" s="1" t="s">
        <v>32</v>
      </c>
      <c r="F292" s="1" t="s">
        <v>1187</v>
      </c>
      <c r="G292" s="1" t="s">
        <v>65</v>
      </c>
      <c r="H292" s="1" t="s">
        <v>106</v>
      </c>
      <c r="I292" s="1" t="s">
        <v>21</v>
      </c>
      <c r="J292" s="1" t="s">
        <v>21</v>
      </c>
      <c r="K292">
        <v>0</v>
      </c>
      <c r="L292">
        <v>3744</v>
      </c>
      <c r="M292">
        <v>1</v>
      </c>
    </row>
    <row r="293" spans="1:13" x14ac:dyDescent="0.35">
      <c r="A293" s="1" t="s">
        <v>1188</v>
      </c>
      <c r="B293" s="1" t="s">
        <v>1189</v>
      </c>
      <c r="C293" s="1" t="s">
        <v>1190</v>
      </c>
      <c r="D293" s="1" t="s">
        <v>16</v>
      </c>
      <c r="E293" s="1" t="s">
        <v>39</v>
      </c>
      <c r="F293" s="1" t="s">
        <v>1191</v>
      </c>
      <c r="G293" s="1" t="s">
        <v>48</v>
      </c>
      <c r="H293" s="1" t="s">
        <v>60</v>
      </c>
      <c r="I293" s="1" t="s">
        <v>21</v>
      </c>
      <c r="J293" s="1" t="s">
        <v>21</v>
      </c>
      <c r="K293">
        <v>7500</v>
      </c>
      <c r="L293">
        <v>2974</v>
      </c>
      <c r="M293">
        <v>0</v>
      </c>
    </row>
    <row r="294" spans="1:13" x14ac:dyDescent="0.35">
      <c r="A294" s="1" t="s">
        <v>21</v>
      </c>
      <c r="B294" s="1" t="s">
        <v>21</v>
      </c>
      <c r="C294" s="1" t="s">
        <v>1192</v>
      </c>
      <c r="D294" s="1" t="s">
        <v>75</v>
      </c>
      <c r="E294" s="1" t="s">
        <v>39</v>
      </c>
      <c r="F294" s="1" t="s">
        <v>21</v>
      </c>
      <c r="G294" s="1" t="s">
        <v>21</v>
      </c>
      <c r="H294" s="1" t="s">
        <v>60</v>
      </c>
      <c r="I294" s="1" t="s">
        <v>21</v>
      </c>
      <c r="J294" s="1" t="s">
        <v>21</v>
      </c>
      <c r="M294">
        <v>0</v>
      </c>
    </row>
    <row r="295" spans="1:13" x14ac:dyDescent="0.35">
      <c r="A295" s="1" t="s">
        <v>1193</v>
      </c>
      <c r="B295" s="1" t="s">
        <v>1194</v>
      </c>
      <c r="C295" s="1" t="s">
        <v>1195</v>
      </c>
      <c r="D295" s="1" t="s">
        <v>284</v>
      </c>
      <c r="E295" s="1" t="s">
        <v>39</v>
      </c>
      <c r="F295" s="1" t="s">
        <v>1196</v>
      </c>
      <c r="G295" s="1" t="s">
        <v>126</v>
      </c>
      <c r="H295" s="1" t="s">
        <v>77</v>
      </c>
      <c r="I295" s="1" t="s">
        <v>21</v>
      </c>
      <c r="J295" s="1" t="s">
        <v>21</v>
      </c>
      <c r="K295">
        <v>7500</v>
      </c>
      <c r="L295">
        <v>1843</v>
      </c>
      <c r="M295">
        <v>0</v>
      </c>
    </row>
    <row r="296" spans="1:13" x14ac:dyDescent="0.35">
      <c r="A296" s="1" t="s">
        <v>1197</v>
      </c>
      <c r="B296" s="1" t="s">
        <v>1198</v>
      </c>
      <c r="C296" s="1" t="s">
        <v>1199</v>
      </c>
      <c r="D296" s="1" t="s">
        <v>58</v>
      </c>
      <c r="E296" s="1" t="s">
        <v>17</v>
      </c>
      <c r="F296" s="1" t="s">
        <v>1200</v>
      </c>
      <c r="G296" s="1" t="s">
        <v>105</v>
      </c>
      <c r="H296" s="1" t="s">
        <v>42</v>
      </c>
      <c r="I296" s="1" t="s">
        <v>21</v>
      </c>
      <c r="J296" s="1" t="s">
        <v>21</v>
      </c>
      <c r="K296">
        <v>2500</v>
      </c>
      <c r="L296">
        <v>998</v>
      </c>
      <c r="M296">
        <v>0</v>
      </c>
    </row>
    <row r="297" spans="1:13" x14ac:dyDescent="0.35">
      <c r="A297" s="1" t="s">
        <v>1201</v>
      </c>
      <c r="B297" s="1" t="s">
        <v>257</v>
      </c>
      <c r="C297" s="1" t="s">
        <v>1202</v>
      </c>
      <c r="D297" s="1" t="s">
        <v>25</v>
      </c>
      <c r="E297" s="1" t="s">
        <v>94</v>
      </c>
      <c r="F297" s="1" t="s">
        <v>1203</v>
      </c>
      <c r="G297" s="1" t="s">
        <v>48</v>
      </c>
      <c r="H297" s="1" t="s">
        <v>106</v>
      </c>
      <c r="I297" s="1" t="s">
        <v>21</v>
      </c>
      <c r="J297" s="1" t="s">
        <v>21</v>
      </c>
      <c r="K297">
        <v>1500</v>
      </c>
      <c r="L297">
        <v>3425</v>
      </c>
      <c r="M297">
        <v>1</v>
      </c>
    </row>
    <row r="298" spans="1:13" x14ac:dyDescent="0.35">
      <c r="A298" s="1" t="s">
        <v>1204</v>
      </c>
      <c r="B298" s="1" t="s">
        <v>1205</v>
      </c>
      <c r="C298" s="1" t="s">
        <v>1206</v>
      </c>
      <c r="D298" s="1" t="s">
        <v>546</v>
      </c>
      <c r="E298" s="1" t="s">
        <v>32</v>
      </c>
      <c r="F298" s="1" t="s">
        <v>1207</v>
      </c>
      <c r="G298" s="1" t="s">
        <v>65</v>
      </c>
      <c r="H298" s="1" t="s">
        <v>106</v>
      </c>
      <c r="I298" s="1" t="s">
        <v>21</v>
      </c>
      <c r="J298" s="1" t="s">
        <v>21</v>
      </c>
      <c r="L298">
        <v>1256</v>
      </c>
      <c r="M298">
        <v>0</v>
      </c>
    </row>
    <row r="299" spans="1:13" x14ac:dyDescent="0.35">
      <c r="A299" s="1" t="s">
        <v>1208</v>
      </c>
      <c r="B299" s="1" t="s">
        <v>1209</v>
      </c>
      <c r="C299" s="1" t="s">
        <v>1210</v>
      </c>
      <c r="D299" s="1" t="s">
        <v>16</v>
      </c>
      <c r="E299" s="1" t="s">
        <v>94</v>
      </c>
      <c r="F299" s="1" t="s">
        <v>1211</v>
      </c>
      <c r="G299" s="1" t="s">
        <v>41</v>
      </c>
      <c r="H299" s="1" t="s">
        <v>96</v>
      </c>
      <c r="I299" s="1" t="s">
        <v>21</v>
      </c>
      <c r="J299" s="1" t="s">
        <v>21</v>
      </c>
      <c r="K299">
        <v>1500</v>
      </c>
      <c r="L299">
        <v>4040</v>
      </c>
      <c r="M299">
        <v>0</v>
      </c>
    </row>
    <row r="300" spans="1:13" x14ac:dyDescent="0.35">
      <c r="A300" s="1" t="s">
        <v>1212</v>
      </c>
      <c r="B300" s="1" t="s">
        <v>1213</v>
      </c>
      <c r="C300" s="1" t="s">
        <v>1214</v>
      </c>
      <c r="D300" s="1" t="s">
        <v>75</v>
      </c>
      <c r="E300" s="1" t="s">
        <v>52</v>
      </c>
      <c r="F300" s="1" t="s">
        <v>1215</v>
      </c>
      <c r="G300" s="1" t="s">
        <v>126</v>
      </c>
      <c r="H300" s="1" t="s">
        <v>96</v>
      </c>
      <c r="I300" s="1" t="s">
        <v>66</v>
      </c>
      <c r="J300" s="1" t="s">
        <v>21</v>
      </c>
      <c r="K300">
        <v>6500</v>
      </c>
      <c r="L300">
        <v>1151</v>
      </c>
      <c r="M300">
        <v>0</v>
      </c>
    </row>
    <row r="301" spans="1:13" x14ac:dyDescent="0.35">
      <c r="A301" s="1" t="s">
        <v>1216</v>
      </c>
      <c r="B301" s="1" t="s">
        <v>789</v>
      </c>
      <c r="C301" s="1" t="s">
        <v>1217</v>
      </c>
      <c r="D301" s="1" t="s">
        <v>254</v>
      </c>
      <c r="E301" s="1" t="s">
        <v>17</v>
      </c>
      <c r="F301" s="1" t="s">
        <v>1218</v>
      </c>
      <c r="G301" s="1" t="s">
        <v>89</v>
      </c>
      <c r="H301" s="1" t="s">
        <v>77</v>
      </c>
      <c r="I301" s="1" t="s">
        <v>21</v>
      </c>
      <c r="J301" s="1" t="s">
        <v>121</v>
      </c>
      <c r="K301">
        <v>2500</v>
      </c>
      <c r="L301">
        <v>1287</v>
      </c>
      <c r="M301">
        <v>1</v>
      </c>
    </row>
    <row r="302" spans="1:13" x14ac:dyDescent="0.35">
      <c r="A302" s="1" t="s">
        <v>1219</v>
      </c>
      <c r="B302" s="1" t="s">
        <v>1220</v>
      </c>
      <c r="C302" s="1" t="s">
        <v>1221</v>
      </c>
      <c r="D302" s="1" t="s">
        <v>58</v>
      </c>
      <c r="E302" s="1" t="s">
        <v>17</v>
      </c>
      <c r="F302" s="1" t="s">
        <v>1222</v>
      </c>
      <c r="G302" s="1" t="s">
        <v>485</v>
      </c>
      <c r="H302" s="1" t="s">
        <v>106</v>
      </c>
      <c r="I302" s="1" t="s">
        <v>21</v>
      </c>
      <c r="J302" s="1" t="s">
        <v>21</v>
      </c>
      <c r="K302">
        <v>2500</v>
      </c>
      <c r="L302">
        <v>80781</v>
      </c>
      <c r="M302">
        <v>1</v>
      </c>
    </row>
    <row r="303" spans="1:13" x14ac:dyDescent="0.35">
      <c r="A303" s="1" t="s">
        <v>21</v>
      </c>
      <c r="B303" s="1" t="s">
        <v>21</v>
      </c>
      <c r="C303" s="1" t="s">
        <v>1223</v>
      </c>
      <c r="D303" s="1" t="s">
        <v>75</v>
      </c>
      <c r="E303" s="1" t="s">
        <v>39</v>
      </c>
      <c r="F303" s="1" t="s">
        <v>21</v>
      </c>
      <c r="G303" s="1" t="s">
        <v>21</v>
      </c>
      <c r="H303" s="1" t="s">
        <v>42</v>
      </c>
      <c r="I303" s="1" t="s">
        <v>21</v>
      </c>
      <c r="J303" s="1" t="s">
        <v>21</v>
      </c>
      <c r="M303">
        <v>0</v>
      </c>
    </row>
    <row r="304" spans="1:13" x14ac:dyDescent="0.35">
      <c r="A304" s="1" t="s">
        <v>1224</v>
      </c>
      <c r="B304" s="1" t="s">
        <v>1225</v>
      </c>
      <c r="C304" s="1" t="s">
        <v>1226</v>
      </c>
      <c r="D304" s="1" t="s">
        <v>25</v>
      </c>
      <c r="E304" s="1" t="s">
        <v>52</v>
      </c>
      <c r="F304" s="1" t="s">
        <v>1227</v>
      </c>
      <c r="G304" s="1" t="s">
        <v>126</v>
      </c>
      <c r="H304" s="1" t="s">
        <v>106</v>
      </c>
      <c r="I304" s="1" t="s">
        <v>66</v>
      </c>
      <c r="J304" s="1" t="s">
        <v>21</v>
      </c>
      <c r="K304">
        <v>6500</v>
      </c>
      <c r="L304">
        <v>3418</v>
      </c>
      <c r="M304">
        <v>0</v>
      </c>
    </row>
    <row r="305" spans="1:13" x14ac:dyDescent="0.35">
      <c r="A305" s="1" t="s">
        <v>1228</v>
      </c>
      <c r="B305" s="1" t="s">
        <v>1088</v>
      </c>
      <c r="C305" s="1" t="s">
        <v>1229</v>
      </c>
      <c r="D305" s="1" t="s">
        <v>25</v>
      </c>
      <c r="E305" s="1" t="s">
        <v>52</v>
      </c>
      <c r="F305" s="1" t="s">
        <v>1230</v>
      </c>
      <c r="G305" s="1" t="s">
        <v>65</v>
      </c>
      <c r="H305" s="1" t="s">
        <v>54</v>
      </c>
      <c r="I305" s="1" t="s">
        <v>291</v>
      </c>
      <c r="J305" s="1" t="s">
        <v>79</v>
      </c>
      <c r="K305">
        <v>6500</v>
      </c>
      <c r="L305">
        <v>3300</v>
      </c>
      <c r="M305">
        <v>0</v>
      </c>
    </row>
    <row r="306" spans="1:13" x14ac:dyDescent="0.35">
      <c r="A306" s="1" t="s">
        <v>1231</v>
      </c>
      <c r="B306" s="1" t="s">
        <v>1232</v>
      </c>
      <c r="C306" s="1" t="s">
        <v>1233</v>
      </c>
      <c r="D306" s="1" t="s">
        <v>75</v>
      </c>
      <c r="E306" s="1" t="s">
        <v>39</v>
      </c>
      <c r="F306" s="1" t="s">
        <v>1234</v>
      </c>
      <c r="G306" s="1" t="s">
        <v>126</v>
      </c>
      <c r="H306" s="1" t="s">
        <v>60</v>
      </c>
      <c r="I306" s="1" t="s">
        <v>21</v>
      </c>
      <c r="J306" s="1" t="s">
        <v>21</v>
      </c>
      <c r="K306">
        <v>7500</v>
      </c>
      <c r="L306">
        <v>3687</v>
      </c>
      <c r="M306">
        <v>0</v>
      </c>
    </row>
    <row r="307" spans="1:13" x14ac:dyDescent="0.35">
      <c r="A307" s="1" t="s">
        <v>1235</v>
      </c>
      <c r="B307" s="1" t="s">
        <v>1236</v>
      </c>
      <c r="C307" s="1" t="s">
        <v>1237</v>
      </c>
      <c r="D307" s="1" t="s">
        <v>25</v>
      </c>
      <c r="E307" s="1" t="s">
        <v>39</v>
      </c>
      <c r="F307" s="1" t="s">
        <v>1238</v>
      </c>
      <c r="G307" s="1" t="s">
        <v>41</v>
      </c>
      <c r="H307" s="1" t="s">
        <v>20</v>
      </c>
      <c r="I307" s="1" t="s">
        <v>21</v>
      </c>
      <c r="J307" s="1" t="s">
        <v>21</v>
      </c>
      <c r="K307">
        <v>7500</v>
      </c>
      <c r="L307">
        <v>2334</v>
      </c>
      <c r="M307">
        <v>0</v>
      </c>
    </row>
    <row r="308" spans="1:13" x14ac:dyDescent="0.35">
      <c r="A308" s="1" t="s">
        <v>1239</v>
      </c>
      <c r="B308" s="1" t="s">
        <v>670</v>
      </c>
      <c r="C308" s="1" t="s">
        <v>1240</v>
      </c>
      <c r="D308" s="1" t="s">
        <v>46</v>
      </c>
      <c r="E308" s="1" t="s">
        <v>52</v>
      </c>
      <c r="F308" s="1" t="s">
        <v>1241</v>
      </c>
      <c r="G308" s="1" t="s">
        <v>34</v>
      </c>
      <c r="H308" s="1" t="s">
        <v>35</v>
      </c>
      <c r="I308" s="1" t="s">
        <v>291</v>
      </c>
      <c r="J308" s="1" t="s">
        <v>21</v>
      </c>
      <c r="K308">
        <v>6500</v>
      </c>
      <c r="L308">
        <v>1634</v>
      </c>
      <c r="M308">
        <v>0</v>
      </c>
    </row>
    <row r="309" spans="1:13" x14ac:dyDescent="0.35">
      <c r="A309" s="1" t="s">
        <v>1242</v>
      </c>
      <c r="B309" s="1" t="s">
        <v>1243</v>
      </c>
      <c r="C309" s="1" t="s">
        <v>1244</v>
      </c>
      <c r="D309" s="1" t="s">
        <v>25</v>
      </c>
      <c r="E309" s="1" t="s">
        <v>94</v>
      </c>
      <c r="F309" s="1" t="s">
        <v>1245</v>
      </c>
      <c r="G309" s="1" t="s">
        <v>41</v>
      </c>
      <c r="H309" s="1" t="s">
        <v>60</v>
      </c>
      <c r="I309" s="1" t="s">
        <v>21</v>
      </c>
      <c r="J309" s="1" t="s">
        <v>286</v>
      </c>
      <c r="K309">
        <v>1500</v>
      </c>
      <c r="L309">
        <v>3105</v>
      </c>
      <c r="M309">
        <v>0</v>
      </c>
    </row>
    <row r="310" spans="1:13" x14ac:dyDescent="0.35">
      <c r="A310" s="1" t="s">
        <v>1246</v>
      </c>
      <c r="B310" s="1" t="s">
        <v>330</v>
      </c>
      <c r="C310" s="1" t="s">
        <v>1247</v>
      </c>
      <c r="D310" s="1" t="s">
        <v>25</v>
      </c>
      <c r="E310" s="1" t="s">
        <v>17</v>
      </c>
      <c r="F310" s="1" t="s">
        <v>1248</v>
      </c>
      <c r="G310" s="1" t="s">
        <v>41</v>
      </c>
      <c r="H310" s="1" t="s">
        <v>77</v>
      </c>
      <c r="I310" s="1" t="s">
        <v>21</v>
      </c>
      <c r="J310" s="1" t="s">
        <v>71</v>
      </c>
      <c r="L310">
        <v>610</v>
      </c>
      <c r="M310">
        <v>0</v>
      </c>
    </row>
    <row r="311" spans="1:13" x14ac:dyDescent="0.35">
      <c r="A311" s="1" t="s">
        <v>1249</v>
      </c>
      <c r="B311" s="1" t="s">
        <v>1250</v>
      </c>
      <c r="C311" s="1" t="s">
        <v>1251</v>
      </c>
      <c r="D311" s="1" t="s">
        <v>25</v>
      </c>
      <c r="E311" s="1" t="s">
        <v>17</v>
      </c>
      <c r="F311" s="1" t="s">
        <v>1252</v>
      </c>
      <c r="G311" s="1" t="s">
        <v>41</v>
      </c>
      <c r="H311" s="1" t="s">
        <v>54</v>
      </c>
      <c r="I311" s="1" t="s">
        <v>21</v>
      </c>
      <c r="J311" s="1" t="s">
        <v>121</v>
      </c>
      <c r="K311">
        <v>2500</v>
      </c>
      <c r="L311">
        <v>2491</v>
      </c>
      <c r="M311">
        <v>0</v>
      </c>
    </row>
    <row r="312" spans="1:13" x14ac:dyDescent="0.35">
      <c r="A312" s="1" t="s">
        <v>1253</v>
      </c>
      <c r="B312" s="1" t="s">
        <v>1254</v>
      </c>
      <c r="C312" s="1" t="s">
        <v>1255</v>
      </c>
      <c r="D312" s="1" t="s">
        <v>75</v>
      </c>
      <c r="E312" s="1" t="s">
        <v>32</v>
      </c>
      <c r="F312" s="1" t="s">
        <v>1256</v>
      </c>
      <c r="G312" s="1" t="s">
        <v>65</v>
      </c>
      <c r="H312" s="1" t="s">
        <v>20</v>
      </c>
      <c r="I312" s="1" t="s">
        <v>21</v>
      </c>
      <c r="J312" s="1" t="s">
        <v>121</v>
      </c>
      <c r="K312">
        <v>0</v>
      </c>
      <c r="L312">
        <v>1420</v>
      </c>
      <c r="M312">
        <v>0</v>
      </c>
    </row>
    <row r="313" spans="1:13" x14ac:dyDescent="0.35">
      <c r="A313" s="1" t="s">
        <v>1257</v>
      </c>
      <c r="B313" s="1" t="s">
        <v>833</v>
      </c>
      <c r="C313" s="1" t="s">
        <v>1258</v>
      </c>
      <c r="D313" s="1" t="s">
        <v>16</v>
      </c>
      <c r="E313" s="1" t="s">
        <v>94</v>
      </c>
      <c r="F313" s="1" t="s">
        <v>1259</v>
      </c>
      <c r="G313" s="1" t="s">
        <v>264</v>
      </c>
      <c r="H313" s="1" t="s">
        <v>42</v>
      </c>
      <c r="I313" s="1" t="s">
        <v>21</v>
      </c>
      <c r="J313" s="1" t="s">
        <v>21</v>
      </c>
      <c r="K313">
        <v>1500</v>
      </c>
      <c r="L313">
        <v>2191</v>
      </c>
      <c r="M313">
        <v>0</v>
      </c>
    </row>
    <row r="314" spans="1:13" x14ac:dyDescent="0.35">
      <c r="A314" s="1" t="s">
        <v>1260</v>
      </c>
      <c r="B314" s="1" t="s">
        <v>1261</v>
      </c>
      <c r="C314" s="1" t="s">
        <v>1262</v>
      </c>
      <c r="D314" s="1" t="s">
        <v>46</v>
      </c>
      <c r="E314" s="1" t="s">
        <v>17</v>
      </c>
      <c r="F314" s="1" t="s">
        <v>1263</v>
      </c>
      <c r="G314" s="1" t="s">
        <v>65</v>
      </c>
      <c r="H314" s="1" t="s">
        <v>35</v>
      </c>
      <c r="I314" s="1" t="s">
        <v>21</v>
      </c>
      <c r="J314" s="1" t="s">
        <v>21</v>
      </c>
      <c r="K314">
        <v>2500</v>
      </c>
      <c r="L314">
        <v>2053</v>
      </c>
      <c r="M314">
        <v>0</v>
      </c>
    </row>
    <row r="315" spans="1:13" x14ac:dyDescent="0.35">
      <c r="A315" s="1" t="s">
        <v>1264</v>
      </c>
      <c r="B315" s="1" t="s">
        <v>1265</v>
      </c>
      <c r="C315" s="1" t="s">
        <v>1266</v>
      </c>
      <c r="D315" s="1" t="s">
        <v>93</v>
      </c>
      <c r="E315" s="1" t="s">
        <v>52</v>
      </c>
      <c r="F315" s="1" t="s">
        <v>1267</v>
      </c>
      <c r="G315" s="1" t="s">
        <v>41</v>
      </c>
      <c r="H315" s="1" t="s">
        <v>106</v>
      </c>
      <c r="I315" s="1" t="s">
        <v>21</v>
      </c>
      <c r="J315" s="1" t="s">
        <v>21</v>
      </c>
      <c r="K315">
        <v>6500</v>
      </c>
      <c r="L315">
        <v>2571</v>
      </c>
      <c r="M315">
        <v>0</v>
      </c>
    </row>
    <row r="316" spans="1:13" x14ac:dyDescent="0.35">
      <c r="A316" s="1" t="s">
        <v>1268</v>
      </c>
      <c r="B316" s="1" t="s">
        <v>589</v>
      </c>
      <c r="C316" s="1" t="s">
        <v>1269</v>
      </c>
      <c r="D316" s="1" t="s">
        <v>58</v>
      </c>
      <c r="E316" s="1" t="s">
        <v>39</v>
      </c>
      <c r="F316" s="1" t="s">
        <v>1270</v>
      </c>
      <c r="G316" s="1" t="s">
        <v>41</v>
      </c>
      <c r="H316" s="1" t="s">
        <v>60</v>
      </c>
      <c r="I316" s="1" t="s">
        <v>21</v>
      </c>
      <c r="J316" s="1" t="s">
        <v>21</v>
      </c>
      <c r="K316">
        <v>7500</v>
      </c>
      <c r="L316">
        <v>1747</v>
      </c>
      <c r="M316">
        <v>0</v>
      </c>
    </row>
    <row r="317" spans="1:13" x14ac:dyDescent="0.35">
      <c r="A317" s="1" t="s">
        <v>1271</v>
      </c>
      <c r="B317" s="1" t="s">
        <v>1272</v>
      </c>
      <c r="C317" s="1" t="s">
        <v>1273</v>
      </c>
      <c r="D317" s="1" t="s">
        <v>16</v>
      </c>
      <c r="E317" s="1" t="s">
        <v>17</v>
      </c>
      <c r="F317" s="1" t="s">
        <v>1274</v>
      </c>
      <c r="G317" s="1" t="s">
        <v>264</v>
      </c>
      <c r="H317" s="1" t="s">
        <v>96</v>
      </c>
      <c r="I317" s="1" t="s">
        <v>21</v>
      </c>
      <c r="J317" s="1" t="s">
        <v>21</v>
      </c>
      <c r="L317">
        <v>2345</v>
      </c>
      <c r="M317">
        <v>1</v>
      </c>
    </row>
    <row r="318" spans="1:13" x14ac:dyDescent="0.35">
      <c r="A318" s="1" t="s">
        <v>1275</v>
      </c>
      <c r="B318" s="1" t="s">
        <v>1276</v>
      </c>
      <c r="C318" s="1" t="s">
        <v>1277</v>
      </c>
      <c r="D318" s="1" t="s">
        <v>25</v>
      </c>
      <c r="E318" s="1" t="s">
        <v>32</v>
      </c>
      <c r="F318" s="1" t="s">
        <v>1278</v>
      </c>
      <c r="G318" s="1" t="s">
        <v>105</v>
      </c>
      <c r="H318" s="1" t="s">
        <v>42</v>
      </c>
      <c r="I318" s="1" t="s">
        <v>21</v>
      </c>
      <c r="J318" s="1" t="s">
        <v>21</v>
      </c>
      <c r="K318">
        <v>0</v>
      </c>
      <c r="L318">
        <v>1707</v>
      </c>
      <c r="M318">
        <v>1</v>
      </c>
    </row>
    <row r="319" spans="1:13" x14ac:dyDescent="0.35">
      <c r="A319" s="1" t="s">
        <v>1279</v>
      </c>
      <c r="B319" s="1" t="s">
        <v>1280</v>
      </c>
      <c r="C319" s="1" t="s">
        <v>1281</v>
      </c>
      <c r="D319" s="1" t="s">
        <v>25</v>
      </c>
      <c r="E319" s="1" t="s">
        <v>32</v>
      </c>
      <c r="F319" s="1" t="s">
        <v>1282</v>
      </c>
      <c r="G319" s="1" t="s">
        <v>137</v>
      </c>
      <c r="H319" s="1" t="s">
        <v>60</v>
      </c>
      <c r="I319" s="1" t="s">
        <v>21</v>
      </c>
      <c r="J319" s="1" t="s">
        <v>21</v>
      </c>
      <c r="K319">
        <v>0</v>
      </c>
      <c r="L319">
        <v>2759</v>
      </c>
      <c r="M319">
        <v>0</v>
      </c>
    </row>
    <row r="320" spans="1:13" x14ac:dyDescent="0.35">
      <c r="A320" s="1" t="s">
        <v>1283</v>
      </c>
      <c r="B320" s="1" t="s">
        <v>1284</v>
      </c>
      <c r="C320" s="1" t="s">
        <v>1285</v>
      </c>
      <c r="D320" s="1" t="s">
        <v>16</v>
      </c>
      <c r="E320" s="1" t="s">
        <v>17</v>
      </c>
      <c r="F320" s="1" t="s">
        <v>1286</v>
      </c>
      <c r="G320" s="1" t="s">
        <v>89</v>
      </c>
      <c r="H320" s="1" t="s">
        <v>60</v>
      </c>
      <c r="I320" s="1" t="s">
        <v>21</v>
      </c>
      <c r="J320" s="1" t="s">
        <v>21</v>
      </c>
      <c r="K320">
        <v>2500</v>
      </c>
      <c r="L320">
        <v>2561</v>
      </c>
      <c r="M320">
        <v>0</v>
      </c>
    </row>
    <row r="321" spans="1:13" x14ac:dyDescent="0.35">
      <c r="A321" s="1" t="s">
        <v>1287</v>
      </c>
      <c r="B321" s="1" t="s">
        <v>1288</v>
      </c>
      <c r="C321" s="1" t="s">
        <v>1289</v>
      </c>
      <c r="D321" s="1" t="s">
        <v>25</v>
      </c>
      <c r="E321" s="1" t="s">
        <v>17</v>
      </c>
      <c r="F321" s="1" t="s">
        <v>1290</v>
      </c>
      <c r="G321" s="1" t="s">
        <v>126</v>
      </c>
      <c r="H321" s="1" t="s">
        <v>60</v>
      </c>
      <c r="I321" s="1" t="s">
        <v>21</v>
      </c>
      <c r="J321" s="1" t="s">
        <v>71</v>
      </c>
      <c r="K321">
        <v>2500</v>
      </c>
      <c r="L321">
        <v>1213</v>
      </c>
      <c r="M321">
        <v>0</v>
      </c>
    </row>
    <row r="322" spans="1:13" x14ac:dyDescent="0.35">
      <c r="A322" s="1" t="s">
        <v>1291</v>
      </c>
      <c r="B322" s="1" t="s">
        <v>1292</v>
      </c>
      <c r="C322" s="1" t="s">
        <v>1293</v>
      </c>
      <c r="D322" s="1" t="s">
        <v>75</v>
      </c>
      <c r="E322" s="1" t="s">
        <v>32</v>
      </c>
      <c r="F322" s="1" t="s">
        <v>1294</v>
      </c>
      <c r="G322" s="1" t="s">
        <v>105</v>
      </c>
      <c r="H322" s="1" t="s">
        <v>54</v>
      </c>
      <c r="I322" s="1" t="s">
        <v>21</v>
      </c>
      <c r="J322" s="1" t="s">
        <v>286</v>
      </c>
      <c r="K322">
        <v>0</v>
      </c>
      <c r="L322">
        <v>258</v>
      </c>
      <c r="M322">
        <v>0</v>
      </c>
    </row>
    <row r="323" spans="1:13" x14ac:dyDescent="0.35">
      <c r="A323" s="1" t="s">
        <v>1295</v>
      </c>
      <c r="B323" s="1" t="s">
        <v>1296</v>
      </c>
      <c r="C323" s="1" t="s">
        <v>1297</v>
      </c>
      <c r="D323" s="1" t="s">
        <v>58</v>
      </c>
      <c r="E323" s="1" t="s">
        <v>94</v>
      </c>
      <c r="F323" s="1" t="s">
        <v>1298</v>
      </c>
      <c r="G323" s="1" t="s">
        <v>126</v>
      </c>
      <c r="H323" s="1" t="s">
        <v>20</v>
      </c>
      <c r="I323" s="1" t="s">
        <v>21</v>
      </c>
      <c r="J323" s="1" t="s">
        <v>21</v>
      </c>
      <c r="K323">
        <v>1500</v>
      </c>
      <c r="L323">
        <v>4562</v>
      </c>
      <c r="M323">
        <v>1</v>
      </c>
    </row>
    <row r="324" spans="1:13" x14ac:dyDescent="0.35">
      <c r="A324" s="1" t="s">
        <v>1299</v>
      </c>
      <c r="B324" s="1" t="s">
        <v>1300</v>
      </c>
      <c r="C324" s="1" t="s">
        <v>1301</v>
      </c>
      <c r="D324" s="1" t="s">
        <v>25</v>
      </c>
      <c r="E324" s="1" t="s">
        <v>39</v>
      </c>
      <c r="F324" s="1" t="s">
        <v>1302</v>
      </c>
      <c r="G324" s="1" t="s">
        <v>65</v>
      </c>
      <c r="H324" s="1" t="s">
        <v>42</v>
      </c>
      <c r="I324" s="1" t="s">
        <v>21</v>
      </c>
      <c r="J324" s="1" t="s">
        <v>71</v>
      </c>
      <c r="K324">
        <v>7500</v>
      </c>
      <c r="L324">
        <v>1742</v>
      </c>
      <c r="M324">
        <v>0</v>
      </c>
    </row>
    <row r="325" spans="1:13" x14ac:dyDescent="0.35">
      <c r="A325" s="1" t="s">
        <v>1303</v>
      </c>
      <c r="B325" s="1" t="s">
        <v>1304</v>
      </c>
      <c r="C325" s="1" t="s">
        <v>1305</v>
      </c>
      <c r="D325" s="1" t="s">
        <v>25</v>
      </c>
      <c r="E325" s="1" t="s">
        <v>52</v>
      </c>
      <c r="F325" s="1" t="s">
        <v>1306</v>
      </c>
      <c r="G325" s="1" t="s">
        <v>34</v>
      </c>
      <c r="H325" s="1" t="s">
        <v>20</v>
      </c>
      <c r="I325" s="1" t="s">
        <v>112</v>
      </c>
      <c r="J325" s="1" t="s">
        <v>21</v>
      </c>
      <c r="K325">
        <v>6500</v>
      </c>
      <c r="L325">
        <v>1180</v>
      </c>
      <c r="M325">
        <v>0</v>
      </c>
    </row>
    <row r="326" spans="1:13" x14ac:dyDescent="0.35">
      <c r="A326" s="1" t="s">
        <v>1307</v>
      </c>
      <c r="B326" s="1" t="s">
        <v>1308</v>
      </c>
      <c r="C326" s="1" t="s">
        <v>1309</v>
      </c>
      <c r="D326" s="1" t="s">
        <v>75</v>
      </c>
      <c r="E326" s="1" t="s">
        <v>39</v>
      </c>
      <c r="F326" s="1" t="s">
        <v>1310</v>
      </c>
      <c r="G326" s="1" t="s">
        <v>19</v>
      </c>
      <c r="H326" s="1" t="s">
        <v>54</v>
      </c>
      <c r="I326" s="1" t="s">
        <v>21</v>
      </c>
      <c r="J326" s="1" t="s">
        <v>79</v>
      </c>
      <c r="K326">
        <v>7500</v>
      </c>
      <c r="L326">
        <v>631</v>
      </c>
      <c r="M326">
        <v>0</v>
      </c>
    </row>
    <row r="327" spans="1:13" x14ac:dyDescent="0.35">
      <c r="A327" s="1" t="s">
        <v>1311</v>
      </c>
      <c r="B327" s="1" t="s">
        <v>1312</v>
      </c>
      <c r="C327" s="1" t="s">
        <v>1313</v>
      </c>
      <c r="D327" s="1" t="s">
        <v>25</v>
      </c>
      <c r="E327" s="1" t="s">
        <v>17</v>
      </c>
      <c r="F327" s="1" t="s">
        <v>1314</v>
      </c>
      <c r="G327" s="1" t="s">
        <v>65</v>
      </c>
      <c r="H327" s="1" t="s">
        <v>106</v>
      </c>
      <c r="I327" s="1" t="s">
        <v>21</v>
      </c>
      <c r="J327" s="1" t="s">
        <v>21</v>
      </c>
      <c r="K327">
        <v>2500</v>
      </c>
      <c r="L327">
        <v>1537</v>
      </c>
      <c r="M327">
        <v>0</v>
      </c>
    </row>
    <row r="328" spans="1:13" x14ac:dyDescent="0.35">
      <c r="A328" s="1" t="s">
        <v>1315</v>
      </c>
      <c r="B328" s="1" t="s">
        <v>1316</v>
      </c>
      <c r="C328" s="1" t="s">
        <v>1317</v>
      </c>
      <c r="D328" s="1" t="s">
        <v>93</v>
      </c>
      <c r="E328" s="1" t="s">
        <v>17</v>
      </c>
      <c r="F328" s="1" t="s">
        <v>1318</v>
      </c>
      <c r="G328" s="1" t="s">
        <v>41</v>
      </c>
      <c r="H328" s="1" t="s">
        <v>60</v>
      </c>
      <c r="I328" s="1" t="s">
        <v>21</v>
      </c>
      <c r="J328" s="1" t="s">
        <v>79</v>
      </c>
      <c r="K328">
        <v>2500</v>
      </c>
      <c r="L328">
        <v>772</v>
      </c>
      <c r="M328">
        <v>0</v>
      </c>
    </row>
    <row r="329" spans="1:13" x14ac:dyDescent="0.35">
      <c r="A329" s="1" t="s">
        <v>1319</v>
      </c>
      <c r="B329" s="1" t="s">
        <v>1320</v>
      </c>
      <c r="C329" s="1" t="s">
        <v>1321</v>
      </c>
      <c r="D329" s="1" t="s">
        <v>25</v>
      </c>
      <c r="E329" s="1" t="s">
        <v>52</v>
      </c>
      <c r="F329" s="1" t="s">
        <v>1322</v>
      </c>
      <c r="G329" s="1" t="s">
        <v>126</v>
      </c>
      <c r="H329" s="1" t="s">
        <v>60</v>
      </c>
      <c r="I329" s="1" t="s">
        <v>131</v>
      </c>
      <c r="J329" s="1" t="s">
        <v>208</v>
      </c>
      <c r="K329">
        <v>6500</v>
      </c>
      <c r="L329">
        <v>2357</v>
      </c>
      <c r="M329">
        <v>0</v>
      </c>
    </row>
    <row r="330" spans="1:13" x14ac:dyDescent="0.35">
      <c r="A330" s="1" t="s">
        <v>1323</v>
      </c>
      <c r="B330" s="1" t="s">
        <v>1324</v>
      </c>
      <c r="C330" s="1" t="s">
        <v>1325</v>
      </c>
      <c r="D330" s="1" t="s">
        <v>284</v>
      </c>
      <c r="E330" s="1" t="s">
        <v>39</v>
      </c>
      <c r="F330" s="1" t="s">
        <v>1326</v>
      </c>
      <c r="G330" s="1" t="s">
        <v>126</v>
      </c>
      <c r="H330" s="1" t="s">
        <v>35</v>
      </c>
      <c r="I330" s="1" t="s">
        <v>21</v>
      </c>
      <c r="J330" s="1" t="s">
        <v>79</v>
      </c>
      <c r="K330">
        <v>7500</v>
      </c>
      <c r="L330">
        <v>1477</v>
      </c>
      <c r="M330">
        <v>0</v>
      </c>
    </row>
    <row r="331" spans="1:13" x14ac:dyDescent="0.35">
      <c r="A331" s="1" t="s">
        <v>21</v>
      </c>
      <c r="B331" s="1" t="s">
        <v>21</v>
      </c>
      <c r="C331" s="1" t="s">
        <v>1327</v>
      </c>
      <c r="D331" s="1" t="s">
        <v>58</v>
      </c>
      <c r="E331" s="1" t="s">
        <v>52</v>
      </c>
      <c r="F331" s="1" t="s">
        <v>21</v>
      </c>
      <c r="G331" s="1" t="s">
        <v>21</v>
      </c>
      <c r="H331" s="1" t="s">
        <v>77</v>
      </c>
      <c r="I331" s="1" t="s">
        <v>21</v>
      </c>
      <c r="J331" s="1" t="s">
        <v>21</v>
      </c>
      <c r="M331">
        <v>0</v>
      </c>
    </row>
    <row r="332" spans="1:13" x14ac:dyDescent="0.35">
      <c r="A332" s="1" t="s">
        <v>1328</v>
      </c>
      <c r="B332" s="1" t="s">
        <v>1329</v>
      </c>
      <c r="C332" s="1" t="s">
        <v>1330</v>
      </c>
      <c r="D332" s="1" t="s">
        <v>25</v>
      </c>
      <c r="E332" s="1" t="s">
        <v>17</v>
      </c>
      <c r="F332" s="1" t="s">
        <v>1331</v>
      </c>
      <c r="G332" s="1" t="s">
        <v>41</v>
      </c>
      <c r="H332" s="1" t="s">
        <v>60</v>
      </c>
      <c r="I332" s="1" t="s">
        <v>21</v>
      </c>
      <c r="J332" s="1" t="s">
        <v>121</v>
      </c>
      <c r="L332">
        <v>4471</v>
      </c>
      <c r="M332">
        <v>0</v>
      </c>
    </row>
    <row r="333" spans="1:13" x14ac:dyDescent="0.35">
      <c r="A333" s="1" t="s">
        <v>1332</v>
      </c>
      <c r="B333" s="1" t="s">
        <v>1333</v>
      </c>
      <c r="C333" s="1" t="s">
        <v>1334</v>
      </c>
      <c r="D333" s="1" t="s">
        <v>31</v>
      </c>
      <c r="E333" s="1" t="s">
        <v>17</v>
      </c>
      <c r="F333" s="1" t="s">
        <v>1335</v>
      </c>
      <c r="G333" s="1" t="s">
        <v>41</v>
      </c>
      <c r="H333" s="1" t="s">
        <v>54</v>
      </c>
      <c r="I333" s="1" t="s">
        <v>21</v>
      </c>
      <c r="J333" s="1" t="s">
        <v>21</v>
      </c>
      <c r="K333">
        <v>2500</v>
      </c>
      <c r="L333">
        <v>3958</v>
      </c>
      <c r="M333">
        <v>0</v>
      </c>
    </row>
    <row r="334" spans="1:13" x14ac:dyDescent="0.35">
      <c r="A334" s="1" t="s">
        <v>1336</v>
      </c>
      <c r="B334" s="1" t="s">
        <v>1337</v>
      </c>
      <c r="C334" s="1" t="s">
        <v>1338</v>
      </c>
      <c r="D334" s="1" t="s">
        <v>110</v>
      </c>
      <c r="E334" s="1" t="s">
        <v>52</v>
      </c>
      <c r="F334" s="1" t="s">
        <v>1339</v>
      </c>
      <c r="G334" s="1" t="s">
        <v>27</v>
      </c>
      <c r="H334" s="1" t="s">
        <v>54</v>
      </c>
      <c r="I334" s="1" t="s">
        <v>804</v>
      </c>
      <c r="J334" s="1" t="s">
        <v>21</v>
      </c>
      <c r="K334">
        <v>6500</v>
      </c>
      <c r="L334">
        <v>276</v>
      </c>
      <c r="M334">
        <v>0</v>
      </c>
    </row>
    <row r="335" spans="1:13" x14ac:dyDescent="0.35">
      <c r="A335" s="1" t="s">
        <v>1340</v>
      </c>
      <c r="B335" s="1" t="s">
        <v>1341</v>
      </c>
      <c r="C335" s="1" t="s">
        <v>1342</v>
      </c>
      <c r="D335" s="1" t="s">
        <v>93</v>
      </c>
      <c r="E335" s="1" t="s">
        <v>32</v>
      </c>
      <c r="F335" s="1" t="s">
        <v>1343</v>
      </c>
      <c r="G335" s="1" t="s">
        <v>41</v>
      </c>
      <c r="H335" s="1" t="s">
        <v>106</v>
      </c>
      <c r="I335" s="1" t="s">
        <v>21</v>
      </c>
      <c r="J335" s="1" t="s">
        <v>71</v>
      </c>
      <c r="K335">
        <v>0</v>
      </c>
      <c r="L335">
        <v>2622</v>
      </c>
      <c r="M335">
        <v>0</v>
      </c>
    </row>
    <row r="336" spans="1:13" x14ac:dyDescent="0.35">
      <c r="A336" s="1" t="s">
        <v>1344</v>
      </c>
      <c r="B336" s="1" t="s">
        <v>1345</v>
      </c>
      <c r="C336" s="1" t="s">
        <v>1346</v>
      </c>
      <c r="D336" s="1" t="s">
        <v>546</v>
      </c>
      <c r="E336" s="1" t="s">
        <v>39</v>
      </c>
      <c r="F336" s="1" t="s">
        <v>1347</v>
      </c>
      <c r="G336" s="1" t="s">
        <v>126</v>
      </c>
      <c r="H336" s="1" t="s">
        <v>106</v>
      </c>
      <c r="I336" s="1" t="s">
        <v>21</v>
      </c>
      <c r="J336" s="1" t="s">
        <v>21</v>
      </c>
      <c r="K336">
        <v>7500</v>
      </c>
      <c r="L336">
        <v>2836</v>
      </c>
      <c r="M336">
        <v>1</v>
      </c>
    </row>
    <row r="337" spans="1:13" x14ac:dyDescent="0.35">
      <c r="A337" s="1" t="s">
        <v>1348</v>
      </c>
      <c r="B337" s="1" t="s">
        <v>1349</v>
      </c>
      <c r="C337" s="1" t="s">
        <v>1350</v>
      </c>
      <c r="D337" s="1" t="s">
        <v>254</v>
      </c>
      <c r="E337" s="1" t="s">
        <v>39</v>
      </c>
      <c r="F337" s="1" t="s">
        <v>1351</v>
      </c>
      <c r="G337" s="1" t="s">
        <v>65</v>
      </c>
      <c r="H337" s="1" t="s">
        <v>35</v>
      </c>
      <c r="I337" s="1" t="s">
        <v>21</v>
      </c>
      <c r="J337" s="1" t="s">
        <v>21</v>
      </c>
      <c r="K337">
        <v>7500</v>
      </c>
      <c r="L337">
        <v>4731</v>
      </c>
      <c r="M337">
        <v>0</v>
      </c>
    </row>
    <row r="338" spans="1:13" x14ac:dyDescent="0.35">
      <c r="A338" s="1" t="s">
        <v>1352</v>
      </c>
      <c r="B338" s="1" t="s">
        <v>1353</v>
      </c>
      <c r="C338" s="1" t="s">
        <v>1354</v>
      </c>
      <c r="D338" s="1" t="s">
        <v>254</v>
      </c>
      <c r="E338" s="1" t="s">
        <v>94</v>
      </c>
      <c r="F338" s="1" t="s">
        <v>1355</v>
      </c>
      <c r="G338" s="1" t="s">
        <v>41</v>
      </c>
      <c r="H338" s="1" t="s">
        <v>54</v>
      </c>
      <c r="I338" s="1" t="s">
        <v>21</v>
      </c>
      <c r="J338" s="1" t="s">
        <v>79</v>
      </c>
      <c r="K338">
        <v>1500</v>
      </c>
      <c r="L338">
        <v>1095</v>
      </c>
      <c r="M338">
        <v>0</v>
      </c>
    </row>
    <row r="339" spans="1:13" x14ac:dyDescent="0.35">
      <c r="A339" s="1" t="s">
        <v>1356</v>
      </c>
      <c r="B339" s="1" t="s">
        <v>1357</v>
      </c>
      <c r="C339" s="1" t="s">
        <v>1358</v>
      </c>
      <c r="D339" s="1" t="s">
        <v>25</v>
      </c>
      <c r="E339" s="1" t="s">
        <v>94</v>
      </c>
      <c r="F339" s="1" t="s">
        <v>1359</v>
      </c>
      <c r="G339" s="1" t="s">
        <v>41</v>
      </c>
      <c r="H339" s="1" t="s">
        <v>60</v>
      </c>
      <c r="I339" s="1" t="s">
        <v>21</v>
      </c>
      <c r="J339" s="1" t="s">
        <v>71</v>
      </c>
      <c r="K339">
        <v>1500</v>
      </c>
      <c r="L339">
        <v>2275</v>
      </c>
      <c r="M339">
        <v>0</v>
      </c>
    </row>
    <row r="340" spans="1:13" x14ac:dyDescent="0.35">
      <c r="A340" s="1" t="s">
        <v>1360</v>
      </c>
      <c r="B340" s="1" t="s">
        <v>1361</v>
      </c>
      <c r="C340" s="1" t="s">
        <v>1362</v>
      </c>
      <c r="D340" s="1" t="s">
        <v>16</v>
      </c>
      <c r="E340" s="1" t="s">
        <v>39</v>
      </c>
      <c r="F340" s="1" t="s">
        <v>1363</v>
      </c>
      <c r="G340" s="1" t="s">
        <v>65</v>
      </c>
      <c r="H340" s="1" t="s">
        <v>42</v>
      </c>
      <c r="I340" s="1" t="s">
        <v>21</v>
      </c>
      <c r="J340" s="1" t="s">
        <v>21</v>
      </c>
      <c r="K340">
        <v>7500</v>
      </c>
      <c r="L340">
        <v>2409</v>
      </c>
      <c r="M340">
        <v>0</v>
      </c>
    </row>
    <row r="341" spans="1:13" x14ac:dyDescent="0.35">
      <c r="A341" s="1" t="s">
        <v>1364</v>
      </c>
      <c r="B341" s="1" t="s">
        <v>1365</v>
      </c>
      <c r="C341" s="1" t="s">
        <v>1366</v>
      </c>
      <c r="D341" s="1" t="s">
        <v>46</v>
      </c>
      <c r="E341" s="1" t="s">
        <v>17</v>
      </c>
      <c r="F341" s="1" t="s">
        <v>1367</v>
      </c>
      <c r="G341" s="1" t="s">
        <v>48</v>
      </c>
      <c r="H341" s="1" t="s">
        <v>77</v>
      </c>
      <c r="I341" s="1" t="s">
        <v>21</v>
      </c>
      <c r="J341" s="1" t="s">
        <v>21</v>
      </c>
      <c r="K341">
        <v>2500</v>
      </c>
      <c r="L341">
        <v>334</v>
      </c>
      <c r="M341">
        <v>0</v>
      </c>
    </row>
    <row r="342" spans="1:13" x14ac:dyDescent="0.35">
      <c r="A342" s="1" t="s">
        <v>1368</v>
      </c>
      <c r="B342" s="1" t="s">
        <v>1369</v>
      </c>
      <c r="C342" s="1" t="s">
        <v>1370</v>
      </c>
      <c r="D342" s="1" t="s">
        <v>16</v>
      </c>
      <c r="E342" s="1" t="s">
        <v>32</v>
      </c>
      <c r="F342" s="1" t="s">
        <v>1371</v>
      </c>
      <c r="G342" s="1" t="s">
        <v>19</v>
      </c>
      <c r="H342" s="1" t="s">
        <v>20</v>
      </c>
      <c r="I342" s="1" t="s">
        <v>21</v>
      </c>
      <c r="J342" s="1" t="s">
        <v>21</v>
      </c>
      <c r="K342">
        <v>0</v>
      </c>
      <c r="L342">
        <v>1635</v>
      </c>
      <c r="M342">
        <v>1</v>
      </c>
    </row>
    <row r="343" spans="1:13" x14ac:dyDescent="0.35">
      <c r="A343" s="1" t="s">
        <v>1372</v>
      </c>
      <c r="B343" s="1" t="s">
        <v>1373</v>
      </c>
      <c r="C343" s="1" t="s">
        <v>1374</v>
      </c>
      <c r="D343" s="1" t="s">
        <v>25</v>
      </c>
      <c r="E343" s="1" t="s">
        <v>32</v>
      </c>
      <c r="F343" s="1" t="s">
        <v>1375</v>
      </c>
      <c r="G343" s="1" t="s">
        <v>34</v>
      </c>
      <c r="H343" s="1" t="s">
        <v>20</v>
      </c>
      <c r="I343" s="1" t="s">
        <v>21</v>
      </c>
      <c r="J343" s="1" t="s">
        <v>21</v>
      </c>
      <c r="K343">
        <v>0</v>
      </c>
      <c r="L343">
        <v>4158</v>
      </c>
      <c r="M343">
        <v>0</v>
      </c>
    </row>
    <row r="344" spans="1:13" x14ac:dyDescent="0.35">
      <c r="A344" s="1" t="s">
        <v>1376</v>
      </c>
      <c r="B344" s="1" t="s">
        <v>1377</v>
      </c>
      <c r="C344" s="1" t="s">
        <v>1378</v>
      </c>
      <c r="D344" s="1" t="s">
        <v>16</v>
      </c>
      <c r="E344" s="1" t="s">
        <v>52</v>
      </c>
      <c r="F344" s="1" t="s">
        <v>1379</v>
      </c>
      <c r="G344" s="1" t="s">
        <v>89</v>
      </c>
      <c r="H344" s="1" t="s">
        <v>96</v>
      </c>
      <c r="I344" s="1" t="s">
        <v>138</v>
      </c>
      <c r="J344" s="1" t="s">
        <v>21</v>
      </c>
      <c r="K344">
        <v>6500</v>
      </c>
      <c r="L344">
        <v>546</v>
      </c>
      <c r="M344">
        <v>0</v>
      </c>
    </row>
    <row r="345" spans="1:13" x14ac:dyDescent="0.35">
      <c r="A345" s="1" t="s">
        <v>1380</v>
      </c>
      <c r="B345" s="1" t="s">
        <v>1381</v>
      </c>
      <c r="C345" s="1" t="s">
        <v>1382</v>
      </c>
      <c r="D345" s="1" t="s">
        <v>167</v>
      </c>
      <c r="E345" s="1" t="s">
        <v>52</v>
      </c>
      <c r="F345" s="1" t="s">
        <v>1383</v>
      </c>
      <c r="G345" s="1" t="s">
        <v>264</v>
      </c>
      <c r="H345" s="1" t="s">
        <v>20</v>
      </c>
      <c r="I345" s="1" t="s">
        <v>66</v>
      </c>
      <c r="J345" s="1" t="s">
        <v>21</v>
      </c>
      <c r="K345">
        <v>6500</v>
      </c>
      <c r="L345">
        <v>921</v>
      </c>
      <c r="M345">
        <v>0</v>
      </c>
    </row>
    <row r="346" spans="1:13" x14ac:dyDescent="0.35">
      <c r="A346" s="1" t="s">
        <v>1384</v>
      </c>
      <c r="B346" s="1" t="s">
        <v>1385</v>
      </c>
      <c r="C346" s="1" t="s">
        <v>1386</v>
      </c>
      <c r="D346" s="1" t="s">
        <v>58</v>
      </c>
      <c r="E346" s="1" t="s">
        <v>52</v>
      </c>
      <c r="F346" s="1" t="s">
        <v>1387</v>
      </c>
      <c r="G346" s="1" t="s">
        <v>41</v>
      </c>
      <c r="H346" s="1" t="s">
        <v>106</v>
      </c>
      <c r="I346" s="1" t="s">
        <v>505</v>
      </c>
      <c r="J346" s="1" t="s">
        <v>21</v>
      </c>
      <c r="K346">
        <v>6500</v>
      </c>
      <c r="L346">
        <v>2589</v>
      </c>
      <c r="M346">
        <v>0</v>
      </c>
    </row>
    <row r="347" spans="1:13" x14ac:dyDescent="0.35">
      <c r="A347" s="1" t="s">
        <v>1388</v>
      </c>
      <c r="B347" s="1" t="s">
        <v>1389</v>
      </c>
      <c r="C347" s="1" t="s">
        <v>1390</v>
      </c>
      <c r="D347" s="1" t="s">
        <v>25</v>
      </c>
      <c r="E347" s="1" t="s">
        <v>39</v>
      </c>
      <c r="F347" s="1" t="s">
        <v>1391</v>
      </c>
      <c r="G347" s="1" t="s">
        <v>126</v>
      </c>
      <c r="H347" s="1" t="s">
        <v>20</v>
      </c>
      <c r="I347" s="1" t="s">
        <v>21</v>
      </c>
      <c r="J347" s="1" t="s">
        <v>21</v>
      </c>
      <c r="K347">
        <v>7500</v>
      </c>
      <c r="L347">
        <v>4706</v>
      </c>
      <c r="M347">
        <v>0</v>
      </c>
    </row>
    <row r="348" spans="1:13" x14ac:dyDescent="0.35">
      <c r="A348" s="1" t="s">
        <v>1392</v>
      </c>
      <c r="B348" s="1" t="s">
        <v>1393</v>
      </c>
      <c r="C348" s="1" t="s">
        <v>1394</v>
      </c>
      <c r="D348" s="1" t="s">
        <v>150</v>
      </c>
      <c r="E348" s="1" t="s">
        <v>17</v>
      </c>
      <c r="F348" s="1" t="s">
        <v>1395</v>
      </c>
      <c r="G348" s="1" t="s">
        <v>34</v>
      </c>
      <c r="H348" s="1" t="s">
        <v>96</v>
      </c>
      <c r="I348" s="1" t="s">
        <v>21</v>
      </c>
      <c r="J348" s="1" t="s">
        <v>71</v>
      </c>
      <c r="K348">
        <v>2500</v>
      </c>
      <c r="L348">
        <v>1170</v>
      </c>
      <c r="M348">
        <v>1</v>
      </c>
    </row>
    <row r="349" spans="1:13" x14ac:dyDescent="0.35">
      <c r="A349" s="1" t="s">
        <v>1396</v>
      </c>
      <c r="B349" s="1" t="s">
        <v>1397</v>
      </c>
      <c r="C349" s="1" t="s">
        <v>1398</v>
      </c>
      <c r="D349" s="1" t="s">
        <v>75</v>
      </c>
      <c r="E349" s="1" t="s">
        <v>52</v>
      </c>
      <c r="F349" s="1" t="s">
        <v>1399</v>
      </c>
      <c r="G349" s="1" t="s">
        <v>485</v>
      </c>
      <c r="H349" s="1" t="s">
        <v>42</v>
      </c>
      <c r="I349" s="1" t="s">
        <v>291</v>
      </c>
      <c r="J349" s="1" t="s">
        <v>79</v>
      </c>
      <c r="K349">
        <v>6500</v>
      </c>
      <c r="L349">
        <v>1422</v>
      </c>
      <c r="M349">
        <v>0</v>
      </c>
    </row>
    <row r="350" spans="1:13" x14ac:dyDescent="0.35">
      <c r="A350" s="1" t="s">
        <v>1400</v>
      </c>
      <c r="B350" s="1" t="s">
        <v>609</v>
      </c>
      <c r="C350" s="1" t="s">
        <v>1401</v>
      </c>
      <c r="D350" s="1" t="s">
        <v>254</v>
      </c>
      <c r="E350" s="1" t="s">
        <v>94</v>
      </c>
      <c r="F350" s="1" t="s">
        <v>1402</v>
      </c>
      <c r="G350" s="1" t="s">
        <v>41</v>
      </c>
      <c r="H350" s="1" t="s">
        <v>96</v>
      </c>
      <c r="I350" s="1" t="s">
        <v>21</v>
      </c>
      <c r="J350" s="1" t="s">
        <v>21</v>
      </c>
      <c r="K350">
        <v>1500</v>
      </c>
      <c r="L350">
        <v>4210</v>
      </c>
      <c r="M350">
        <v>0</v>
      </c>
    </row>
    <row r="351" spans="1:13" x14ac:dyDescent="0.35">
      <c r="A351" s="1" t="s">
        <v>1403</v>
      </c>
      <c r="B351" s="1" t="s">
        <v>1404</v>
      </c>
      <c r="C351" s="1" t="s">
        <v>1405</v>
      </c>
      <c r="D351" s="1" t="s">
        <v>25</v>
      </c>
      <c r="E351" s="1" t="s">
        <v>52</v>
      </c>
      <c r="F351" s="1" t="s">
        <v>1406</v>
      </c>
      <c r="G351" s="1" t="s">
        <v>65</v>
      </c>
      <c r="H351" s="1" t="s">
        <v>54</v>
      </c>
      <c r="I351" s="1" t="s">
        <v>772</v>
      </c>
      <c r="J351" s="1" t="s">
        <v>121</v>
      </c>
      <c r="K351">
        <v>6500</v>
      </c>
      <c r="L351">
        <v>4299</v>
      </c>
      <c r="M351">
        <v>0</v>
      </c>
    </row>
    <row r="352" spans="1:13" x14ac:dyDescent="0.35">
      <c r="A352" s="1" t="s">
        <v>1407</v>
      </c>
      <c r="B352" s="1" t="s">
        <v>1408</v>
      </c>
      <c r="C352" s="1" t="s">
        <v>1409</v>
      </c>
      <c r="D352" s="1" t="s">
        <v>58</v>
      </c>
      <c r="E352" s="1" t="s">
        <v>52</v>
      </c>
      <c r="F352" s="1" t="s">
        <v>1410</v>
      </c>
      <c r="G352" s="1" t="s">
        <v>126</v>
      </c>
      <c r="H352" s="1" t="s">
        <v>77</v>
      </c>
      <c r="I352" s="1" t="s">
        <v>131</v>
      </c>
      <c r="J352" s="1" t="s">
        <v>21</v>
      </c>
      <c r="K352">
        <v>6500</v>
      </c>
      <c r="L352">
        <v>2207</v>
      </c>
      <c r="M352">
        <v>0</v>
      </c>
    </row>
    <row r="353" spans="1:13" x14ac:dyDescent="0.35">
      <c r="A353" s="1" t="s">
        <v>1411</v>
      </c>
      <c r="B353" s="1" t="s">
        <v>1412</v>
      </c>
      <c r="C353" s="1" t="s">
        <v>1413</v>
      </c>
      <c r="D353" s="1" t="s">
        <v>16</v>
      </c>
      <c r="E353" s="1" t="s">
        <v>32</v>
      </c>
      <c r="F353" s="1" t="s">
        <v>1414</v>
      </c>
      <c r="G353" s="1" t="s">
        <v>41</v>
      </c>
      <c r="H353" s="1" t="s">
        <v>60</v>
      </c>
      <c r="I353" s="1" t="s">
        <v>21</v>
      </c>
      <c r="J353" s="1" t="s">
        <v>21</v>
      </c>
      <c r="K353">
        <v>0</v>
      </c>
      <c r="L353">
        <v>1956</v>
      </c>
      <c r="M353">
        <v>0</v>
      </c>
    </row>
    <row r="354" spans="1:13" x14ac:dyDescent="0.35">
      <c r="A354" s="1" t="s">
        <v>1415</v>
      </c>
      <c r="B354" s="1" t="s">
        <v>1416</v>
      </c>
      <c r="C354" s="1" t="s">
        <v>1417</v>
      </c>
      <c r="D354" s="1" t="s">
        <v>150</v>
      </c>
      <c r="E354" s="1" t="s">
        <v>52</v>
      </c>
      <c r="F354" s="1" t="s">
        <v>1418</v>
      </c>
      <c r="G354" s="1" t="s">
        <v>65</v>
      </c>
      <c r="H354" s="1" t="s">
        <v>60</v>
      </c>
      <c r="I354" s="1" t="s">
        <v>138</v>
      </c>
      <c r="J354" s="1" t="s">
        <v>79</v>
      </c>
      <c r="K354">
        <v>6500</v>
      </c>
      <c r="L354">
        <v>3680</v>
      </c>
      <c r="M354">
        <v>0</v>
      </c>
    </row>
    <row r="355" spans="1:13" x14ac:dyDescent="0.35">
      <c r="A355" s="1" t="s">
        <v>1419</v>
      </c>
      <c r="B355" s="1" t="s">
        <v>1420</v>
      </c>
      <c r="C355" s="1" t="s">
        <v>1421</v>
      </c>
      <c r="D355" s="1" t="s">
        <v>58</v>
      </c>
      <c r="E355" s="1" t="s">
        <v>52</v>
      </c>
      <c r="F355" s="1" t="s">
        <v>1422</v>
      </c>
      <c r="G355" s="1" t="s">
        <v>65</v>
      </c>
      <c r="H355" s="1" t="s">
        <v>54</v>
      </c>
      <c r="I355" s="1" t="s">
        <v>21</v>
      </c>
      <c r="J355" s="1" t="s">
        <v>21</v>
      </c>
      <c r="K355">
        <v>6500</v>
      </c>
      <c r="L355">
        <v>805</v>
      </c>
      <c r="M355">
        <v>0</v>
      </c>
    </row>
    <row r="356" spans="1:13" x14ac:dyDescent="0.35">
      <c r="A356" s="1" t="s">
        <v>1423</v>
      </c>
      <c r="B356" s="1" t="s">
        <v>1424</v>
      </c>
      <c r="C356" s="1" t="s">
        <v>1425</v>
      </c>
      <c r="D356" s="1" t="s">
        <v>25</v>
      </c>
      <c r="E356" s="1" t="s">
        <v>32</v>
      </c>
      <c r="F356" s="1" t="s">
        <v>1426</v>
      </c>
      <c r="G356" s="1" t="s">
        <v>65</v>
      </c>
      <c r="H356" s="1" t="s">
        <v>96</v>
      </c>
      <c r="I356" s="1" t="s">
        <v>21</v>
      </c>
      <c r="J356" s="1" t="s">
        <v>21</v>
      </c>
      <c r="K356">
        <v>0</v>
      </c>
      <c r="L356">
        <v>3455</v>
      </c>
      <c r="M356">
        <v>0</v>
      </c>
    </row>
    <row r="357" spans="1:13" x14ac:dyDescent="0.35">
      <c r="A357" s="1" t="s">
        <v>1427</v>
      </c>
      <c r="B357" s="1" t="s">
        <v>1428</v>
      </c>
      <c r="C357" s="1" t="s">
        <v>1429</v>
      </c>
      <c r="D357" s="1" t="s">
        <v>75</v>
      </c>
      <c r="E357" s="1" t="s">
        <v>17</v>
      </c>
      <c r="F357" s="1" t="s">
        <v>1430</v>
      </c>
      <c r="G357" s="1" t="s">
        <v>126</v>
      </c>
      <c r="H357" s="1" t="s">
        <v>60</v>
      </c>
      <c r="I357" s="1" t="s">
        <v>21</v>
      </c>
      <c r="J357" s="1" t="s">
        <v>121</v>
      </c>
      <c r="K357">
        <v>2500</v>
      </c>
      <c r="L357">
        <v>4786</v>
      </c>
      <c r="M357">
        <v>0</v>
      </c>
    </row>
    <row r="358" spans="1:13" x14ac:dyDescent="0.35">
      <c r="A358" s="1" t="s">
        <v>1431</v>
      </c>
      <c r="B358" s="1" t="s">
        <v>1432</v>
      </c>
      <c r="C358" s="1" t="s">
        <v>1433</v>
      </c>
      <c r="D358" s="1" t="s">
        <v>16</v>
      </c>
      <c r="E358" s="1" t="s">
        <v>94</v>
      </c>
      <c r="F358" s="1" t="s">
        <v>1434</v>
      </c>
      <c r="G358" s="1" t="s">
        <v>137</v>
      </c>
      <c r="H358" s="1" t="s">
        <v>106</v>
      </c>
      <c r="I358" s="1" t="s">
        <v>21</v>
      </c>
      <c r="J358" s="1" t="s">
        <v>21</v>
      </c>
      <c r="K358">
        <v>1500</v>
      </c>
      <c r="L358">
        <v>914</v>
      </c>
      <c r="M358">
        <v>0</v>
      </c>
    </row>
    <row r="359" spans="1:13" x14ac:dyDescent="0.35">
      <c r="A359" s="1" t="s">
        <v>1435</v>
      </c>
      <c r="B359" s="1" t="s">
        <v>1436</v>
      </c>
      <c r="C359" s="1" t="s">
        <v>1437</v>
      </c>
      <c r="D359" s="1" t="s">
        <v>75</v>
      </c>
      <c r="E359" s="1" t="s">
        <v>52</v>
      </c>
      <c r="F359" s="1" t="s">
        <v>1438</v>
      </c>
      <c r="G359" s="1" t="s">
        <v>48</v>
      </c>
      <c r="H359" s="1" t="s">
        <v>54</v>
      </c>
      <c r="I359" s="1" t="s">
        <v>66</v>
      </c>
      <c r="J359" s="1" t="s">
        <v>79</v>
      </c>
      <c r="K359">
        <v>6500</v>
      </c>
      <c r="L359">
        <v>34339</v>
      </c>
      <c r="M359">
        <v>0</v>
      </c>
    </row>
    <row r="360" spans="1:13" x14ac:dyDescent="0.35">
      <c r="A360" s="1" t="s">
        <v>1439</v>
      </c>
      <c r="B360" s="1" t="s">
        <v>1440</v>
      </c>
      <c r="C360" s="1" t="s">
        <v>1441</v>
      </c>
      <c r="D360" s="1" t="s">
        <v>25</v>
      </c>
      <c r="E360" s="1" t="s">
        <v>32</v>
      </c>
      <c r="F360" s="1" t="s">
        <v>1442</v>
      </c>
      <c r="G360" s="1" t="s">
        <v>19</v>
      </c>
      <c r="H360" s="1" t="s">
        <v>54</v>
      </c>
      <c r="I360" s="1" t="s">
        <v>21</v>
      </c>
      <c r="J360" s="1" t="s">
        <v>121</v>
      </c>
      <c r="K360">
        <v>0</v>
      </c>
      <c r="L360">
        <v>4772</v>
      </c>
      <c r="M360">
        <v>0</v>
      </c>
    </row>
    <row r="361" spans="1:13" x14ac:dyDescent="0.35">
      <c r="A361" s="1" t="s">
        <v>1443</v>
      </c>
      <c r="B361" s="1" t="s">
        <v>1444</v>
      </c>
      <c r="C361" s="1" t="s">
        <v>1445</v>
      </c>
      <c r="D361" s="1" t="s">
        <v>150</v>
      </c>
      <c r="E361" s="1" t="s">
        <v>39</v>
      </c>
      <c r="F361" s="1" t="s">
        <v>1446</v>
      </c>
      <c r="G361" s="1" t="s">
        <v>89</v>
      </c>
      <c r="H361" s="1" t="s">
        <v>42</v>
      </c>
      <c r="I361" s="1" t="s">
        <v>21</v>
      </c>
      <c r="J361" s="1" t="s">
        <v>71</v>
      </c>
      <c r="K361">
        <v>7500</v>
      </c>
      <c r="L361">
        <v>2615</v>
      </c>
      <c r="M361">
        <v>0</v>
      </c>
    </row>
    <row r="362" spans="1:13" x14ac:dyDescent="0.35">
      <c r="A362" s="1" t="s">
        <v>1447</v>
      </c>
      <c r="B362" s="1" t="s">
        <v>1448</v>
      </c>
      <c r="C362" s="1" t="s">
        <v>1449</v>
      </c>
      <c r="D362" s="1" t="s">
        <v>58</v>
      </c>
      <c r="E362" s="1" t="s">
        <v>32</v>
      </c>
      <c r="F362" s="1" t="s">
        <v>1450</v>
      </c>
      <c r="G362" s="1" t="s">
        <v>27</v>
      </c>
      <c r="H362" s="1" t="s">
        <v>77</v>
      </c>
      <c r="I362" s="1" t="s">
        <v>21</v>
      </c>
      <c r="J362" s="1" t="s">
        <v>21</v>
      </c>
      <c r="K362">
        <v>0</v>
      </c>
      <c r="L362">
        <v>2468</v>
      </c>
      <c r="M362">
        <v>0</v>
      </c>
    </row>
    <row r="363" spans="1:13" x14ac:dyDescent="0.35">
      <c r="A363" s="1" t="s">
        <v>1451</v>
      </c>
      <c r="B363" s="1" t="s">
        <v>1452</v>
      </c>
      <c r="C363" s="1" t="s">
        <v>1453</v>
      </c>
      <c r="D363" s="1" t="s">
        <v>25</v>
      </c>
      <c r="E363" s="1" t="s">
        <v>17</v>
      </c>
      <c r="F363" s="1" t="s">
        <v>1454</v>
      </c>
      <c r="G363" s="1" t="s">
        <v>137</v>
      </c>
      <c r="H363" s="1" t="s">
        <v>54</v>
      </c>
      <c r="I363" s="1" t="s">
        <v>21</v>
      </c>
      <c r="J363" s="1" t="s">
        <v>21</v>
      </c>
      <c r="K363">
        <v>2500</v>
      </c>
      <c r="L363">
        <v>4502</v>
      </c>
      <c r="M363">
        <v>0</v>
      </c>
    </row>
    <row r="364" spans="1:13" x14ac:dyDescent="0.35">
      <c r="A364" s="1" t="s">
        <v>1455</v>
      </c>
      <c r="B364" s="1" t="s">
        <v>1456</v>
      </c>
      <c r="C364" s="1" t="s">
        <v>1457</v>
      </c>
      <c r="D364" s="1" t="s">
        <v>16</v>
      </c>
      <c r="E364" s="1" t="s">
        <v>94</v>
      </c>
      <c r="F364" s="1" t="s">
        <v>1458</v>
      </c>
      <c r="G364" s="1" t="s">
        <v>137</v>
      </c>
      <c r="H364" s="1" t="s">
        <v>54</v>
      </c>
      <c r="I364" s="1" t="s">
        <v>21</v>
      </c>
      <c r="J364" s="1" t="s">
        <v>21</v>
      </c>
      <c r="K364">
        <v>1500</v>
      </c>
      <c r="L364">
        <v>3290</v>
      </c>
      <c r="M364">
        <v>0</v>
      </c>
    </row>
    <row r="365" spans="1:13" x14ac:dyDescent="0.35">
      <c r="A365" s="1" t="s">
        <v>1459</v>
      </c>
      <c r="B365" s="1" t="s">
        <v>1460</v>
      </c>
      <c r="C365" s="1" t="s">
        <v>1461</v>
      </c>
      <c r="D365" s="1" t="s">
        <v>58</v>
      </c>
      <c r="E365" s="1" t="s">
        <v>94</v>
      </c>
      <c r="F365" s="1" t="s">
        <v>1462</v>
      </c>
      <c r="G365" s="1" t="s">
        <v>65</v>
      </c>
      <c r="H365" s="1" t="s">
        <v>60</v>
      </c>
      <c r="I365" s="1" t="s">
        <v>21</v>
      </c>
      <c r="J365" s="1" t="s">
        <v>21</v>
      </c>
      <c r="K365">
        <v>1500</v>
      </c>
      <c r="L365">
        <v>868</v>
      </c>
      <c r="M365">
        <v>0</v>
      </c>
    </row>
    <row r="366" spans="1:13" x14ac:dyDescent="0.35">
      <c r="A366" s="1" t="s">
        <v>1463</v>
      </c>
      <c r="B366" s="1" t="s">
        <v>1464</v>
      </c>
      <c r="C366" s="1" t="s">
        <v>1465</v>
      </c>
      <c r="D366" s="1" t="s">
        <v>75</v>
      </c>
      <c r="E366" s="1" t="s">
        <v>39</v>
      </c>
      <c r="F366" s="1" t="s">
        <v>1466</v>
      </c>
      <c r="G366" s="1" t="s">
        <v>41</v>
      </c>
      <c r="H366" s="1" t="s">
        <v>35</v>
      </c>
      <c r="I366" s="1" t="s">
        <v>21</v>
      </c>
      <c r="J366" s="1" t="s">
        <v>79</v>
      </c>
      <c r="K366">
        <v>7500</v>
      </c>
      <c r="L366">
        <v>4806</v>
      </c>
      <c r="M366">
        <v>0</v>
      </c>
    </row>
    <row r="367" spans="1:13" x14ac:dyDescent="0.35">
      <c r="A367" s="1" t="s">
        <v>1467</v>
      </c>
      <c r="B367" s="1" t="s">
        <v>1468</v>
      </c>
      <c r="C367" s="1" t="s">
        <v>1469</v>
      </c>
      <c r="D367" s="1" t="s">
        <v>58</v>
      </c>
      <c r="E367" s="1" t="s">
        <v>32</v>
      </c>
      <c r="F367" s="1" t="s">
        <v>1470</v>
      </c>
      <c r="G367" s="1" t="s">
        <v>41</v>
      </c>
      <c r="H367" s="1" t="s">
        <v>35</v>
      </c>
      <c r="I367" s="1" t="s">
        <v>21</v>
      </c>
      <c r="J367" s="1" t="s">
        <v>21</v>
      </c>
      <c r="K367">
        <v>0</v>
      </c>
      <c r="L367">
        <v>47223</v>
      </c>
      <c r="M367">
        <v>0</v>
      </c>
    </row>
    <row r="368" spans="1:13" x14ac:dyDescent="0.35">
      <c r="A368" s="1" t="s">
        <v>1471</v>
      </c>
      <c r="B368" s="1" t="s">
        <v>1472</v>
      </c>
      <c r="C368" s="1" t="s">
        <v>1473</v>
      </c>
      <c r="D368" s="1" t="s">
        <v>25</v>
      </c>
      <c r="E368" s="1" t="s">
        <v>94</v>
      </c>
      <c r="F368" s="1" t="s">
        <v>1474</v>
      </c>
      <c r="G368" s="1" t="s">
        <v>65</v>
      </c>
      <c r="H368" s="1" t="s">
        <v>35</v>
      </c>
      <c r="I368" s="1" t="s">
        <v>21</v>
      </c>
      <c r="J368" s="1" t="s">
        <v>21</v>
      </c>
      <c r="K368">
        <v>1500</v>
      </c>
      <c r="L368">
        <v>39351</v>
      </c>
      <c r="M368">
        <v>1</v>
      </c>
    </row>
    <row r="369" spans="1:13" x14ac:dyDescent="0.35">
      <c r="A369" s="1" t="s">
        <v>1475</v>
      </c>
      <c r="B369" s="1" t="s">
        <v>849</v>
      </c>
      <c r="C369" s="1" t="s">
        <v>1476</v>
      </c>
      <c r="D369" s="1" t="s">
        <v>25</v>
      </c>
      <c r="E369" s="1" t="s">
        <v>52</v>
      </c>
      <c r="F369" s="1" t="s">
        <v>1477</v>
      </c>
      <c r="G369" s="1" t="s">
        <v>126</v>
      </c>
      <c r="H369" s="1" t="s">
        <v>20</v>
      </c>
      <c r="I369" s="1" t="s">
        <v>138</v>
      </c>
      <c r="J369" s="1" t="s">
        <v>79</v>
      </c>
      <c r="K369">
        <v>6500</v>
      </c>
      <c r="L369">
        <v>4219</v>
      </c>
      <c r="M369">
        <v>0</v>
      </c>
    </row>
    <row r="370" spans="1:13" x14ac:dyDescent="0.35">
      <c r="A370" s="1" t="s">
        <v>1478</v>
      </c>
      <c r="B370" s="1" t="s">
        <v>1479</v>
      </c>
      <c r="C370" s="1" t="s">
        <v>1480</v>
      </c>
      <c r="D370" s="1" t="s">
        <v>135</v>
      </c>
      <c r="E370" s="1" t="s">
        <v>17</v>
      </c>
      <c r="F370" s="1" t="s">
        <v>1481</v>
      </c>
      <c r="G370" s="1" t="s">
        <v>41</v>
      </c>
      <c r="H370" s="1" t="s">
        <v>60</v>
      </c>
      <c r="I370" s="1" t="s">
        <v>21</v>
      </c>
      <c r="J370" s="1" t="s">
        <v>121</v>
      </c>
      <c r="K370">
        <v>2500</v>
      </c>
      <c r="L370">
        <v>2965</v>
      </c>
      <c r="M370">
        <v>1</v>
      </c>
    </row>
    <row r="371" spans="1:13" x14ac:dyDescent="0.35">
      <c r="A371" s="1" t="s">
        <v>1482</v>
      </c>
      <c r="B371" s="1" t="s">
        <v>1483</v>
      </c>
      <c r="C371" s="1" t="s">
        <v>1484</v>
      </c>
      <c r="D371" s="1" t="s">
        <v>31</v>
      </c>
      <c r="E371" s="1" t="s">
        <v>94</v>
      </c>
      <c r="F371" s="1" t="s">
        <v>1485</v>
      </c>
      <c r="G371" s="1" t="s">
        <v>195</v>
      </c>
      <c r="H371" s="1" t="s">
        <v>42</v>
      </c>
      <c r="I371" s="1" t="s">
        <v>21</v>
      </c>
      <c r="J371" s="1" t="s">
        <v>21</v>
      </c>
      <c r="K371">
        <v>1500</v>
      </c>
      <c r="L371">
        <v>2414</v>
      </c>
      <c r="M371">
        <v>0</v>
      </c>
    </row>
    <row r="372" spans="1:13" x14ac:dyDescent="0.35">
      <c r="A372" s="1" t="s">
        <v>1486</v>
      </c>
      <c r="B372" s="1" t="s">
        <v>1487</v>
      </c>
      <c r="C372" s="1" t="s">
        <v>1488</v>
      </c>
      <c r="D372" s="1" t="s">
        <v>16</v>
      </c>
      <c r="E372" s="1" t="s">
        <v>94</v>
      </c>
      <c r="F372" s="1" t="s">
        <v>1489</v>
      </c>
      <c r="G372" s="1" t="s">
        <v>65</v>
      </c>
      <c r="H372" s="1" t="s">
        <v>106</v>
      </c>
      <c r="I372" s="1" t="s">
        <v>21</v>
      </c>
      <c r="J372" s="1" t="s">
        <v>21</v>
      </c>
      <c r="K372">
        <v>1500</v>
      </c>
      <c r="L372">
        <v>3055</v>
      </c>
      <c r="M372">
        <v>0</v>
      </c>
    </row>
    <row r="373" spans="1:13" x14ac:dyDescent="0.35">
      <c r="A373" s="1" t="s">
        <v>1490</v>
      </c>
      <c r="B373" s="1" t="s">
        <v>1491</v>
      </c>
      <c r="C373" s="1" t="s">
        <v>1492</v>
      </c>
      <c r="D373" s="1" t="s">
        <v>31</v>
      </c>
      <c r="E373" s="1" t="s">
        <v>17</v>
      </c>
      <c r="F373" s="1" t="s">
        <v>1493</v>
      </c>
      <c r="G373" s="1" t="s">
        <v>41</v>
      </c>
      <c r="H373" s="1" t="s">
        <v>60</v>
      </c>
      <c r="I373" s="1" t="s">
        <v>21</v>
      </c>
      <c r="J373" s="1" t="s">
        <v>21</v>
      </c>
      <c r="K373">
        <v>2500</v>
      </c>
      <c r="L373">
        <v>1108</v>
      </c>
      <c r="M373">
        <v>0</v>
      </c>
    </row>
    <row r="374" spans="1:13" x14ac:dyDescent="0.35">
      <c r="A374" s="1" t="s">
        <v>1494</v>
      </c>
      <c r="B374" s="1" t="s">
        <v>1495</v>
      </c>
      <c r="C374" s="1" t="s">
        <v>1496</v>
      </c>
      <c r="D374" s="1" t="s">
        <v>75</v>
      </c>
      <c r="E374" s="1" t="s">
        <v>39</v>
      </c>
      <c r="F374" s="1" t="s">
        <v>1497</v>
      </c>
      <c r="G374" s="1" t="s">
        <v>41</v>
      </c>
      <c r="H374" s="1" t="s">
        <v>42</v>
      </c>
      <c r="I374" s="1" t="s">
        <v>21</v>
      </c>
      <c r="J374" s="1" t="s">
        <v>79</v>
      </c>
      <c r="K374">
        <v>7500</v>
      </c>
      <c r="L374">
        <v>3803</v>
      </c>
      <c r="M374">
        <v>0</v>
      </c>
    </row>
    <row r="375" spans="1:13" x14ac:dyDescent="0.35">
      <c r="A375" s="1" t="s">
        <v>1498</v>
      </c>
      <c r="B375" s="1" t="s">
        <v>1499</v>
      </c>
      <c r="C375" s="1" t="s">
        <v>1500</v>
      </c>
      <c r="D375" s="1" t="s">
        <v>25</v>
      </c>
      <c r="E375" s="1" t="s">
        <v>94</v>
      </c>
      <c r="F375" s="1" t="s">
        <v>1501</v>
      </c>
      <c r="G375" s="1" t="s">
        <v>65</v>
      </c>
      <c r="H375" s="1" t="s">
        <v>42</v>
      </c>
      <c r="I375" s="1" t="s">
        <v>21</v>
      </c>
      <c r="J375" s="1" t="s">
        <v>79</v>
      </c>
      <c r="K375">
        <v>1500</v>
      </c>
      <c r="L375">
        <v>1829</v>
      </c>
      <c r="M375">
        <v>0</v>
      </c>
    </row>
    <row r="376" spans="1:13" x14ac:dyDescent="0.35">
      <c r="A376" s="1" t="s">
        <v>1502</v>
      </c>
      <c r="B376" s="1" t="s">
        <v>1503</v>
      </c>
      <c r="C376" s="1" t="s">
        <v>1504</v>
      </c>
      <c r="D376" s="1" t="s">
        <v>25</v>
      </c>
      <c r="E376" s="1" t="s">
        <v>17</v>
      </c>
      <c r="F376" s="1" t="s">
        <v>1505</v>
      </c>
      <c r="G376" s="1" t="s">
        <v>41</v>
      </c>
      <c r="H376" s="1" t="s">
        <v>42</v>
      </c>
      <c r="I376" s="1" t="s">
        <v>21</v>
      </c>
      <c r="J376" s="1" t="s">
        <v>21</v>
      </c>
      <c r="K376">
        <v>2500</v>
      </c>
      <c r="L376">
        <v>575</v>
      </c>
      <c r="M376">
        <v>0</v>
      </c>
    </row>
    <row r="377" spans="1:13" x14ac:dyDescent="0.35">
      <c r="A377" s="1" t="s">
        <v>1506</v>
      </c>
      <c r="B377" s="1" t="s">
        <v>1507</v>
      </c>
      <c r="C377" s="1" t="s">
        <v>1508</v>
      </c>
      <c r="D377" s="1" t="s">
        <v>546</v>
      </c>
      <c r="E377" s="1" t="s">
        <v>94</v>
      </c>
      <c r="F377" s="1" t="s">
        <v>1509</v>
      </c>
      <c r="G377" s="1" t="s">
        <v>264</v>
      </c>
      <c r="H377" s="1" t="s">
        <v>106</v>
      </c>
      <c r="I377" s="1" t="s">
        <v>21</v>
      </c>
      <c r="J377" s="1" t="s">
        <v>21</v>
      </c>
      <c r="K377">
        <v>1500</v>
      </c>
      <c r="L377">
        <v>876</v>
      </c>
      <c r="M377">
        <v>0</v>
      </c>
    </row>
    <row r="378" spans="1:13" x14ac:dyDescent="0.35">
      <c r="A378" s="1" t="s">
        <v>1510</v>
      </c>
      <c r="B378" s="1" t="s">
        <v>1511</v>
      </c>
      <c r="C378" s="1" t="s">
        <v>1512</v>
      </c>
      <c r="D378" s="1" t="s">
        <v>167</v>
      </c>
      <c r="E378" s="1" t="s">
        <v>94</v>
      </c>
      <c r="F378" s="1" t="s">
        <v>1513</v>
      </c>
      <c r="G378" s="1" t="s">
        <v>48</v>
      </c>
      <c r="H378" s="1" t="s">
        <v>35</v>
      </c>
      <c r="I378" s="1" t="s">
        <v>21</v>
      </c>
      <c r="J378" s="1" t="s">
        <v>21</v>
      </c>
      <c r="K378">
        <v>1500</v>
      </c>
      <c r="L378">
        <v>4435</v>
      </c>
      <c r="M378">
        <v>0</v>
      </c>
    </row>
    <row r="379" spans="1:13" x14ac:dyDescent="0.35">
      <c r="A379" s="1" t="s">
        <v>1514</v>
      </c>
      <c r="B379" s="1" t="s">
        <v>1515</v>
      </c>
      <c r="C379" s="1" t="s">
        <v>1516</v>
      </c>
      <c r="D379" s="1" t="s">
        <v>75</v>
      </c>
      <c r="E379" s="1" t="s">
        <v>94</v>
      </c>
      <c r="F379" s="1" t="s">
        <v>1517</v>
      </c>
      <c r="G379" s="1" t="s">
        <v>126</v>
      </c>
      <c r="H379" s="1" t="s">
        <v>35</v>
      </c>
      <c r="I379" s="1" t="s">
        <v>21</v>
      </c>
      <c r="J379" s="1" t="s">
        <v>79</v>
      </c>
      <c r="K379">
        <v>1500</v>
      </c>
      <c r="L379">
        <v>2537</v>
      </c>
      <c r="M379">
        <v>1</v>
      </c>
    </row>
    <row r="380" spans="1:13" x14ac:dyDescent="0.35">
      <c r="A380" s="1" t="s">
        <v>1518</v>
      </c>
      <c r="B380" s="1" t="s">
        <v>1519</v>
      </c>
      <c r="C380" s="1" t="s">
        <v>1520</v>
      </c>
      <c r="D380" s="1" t="s">
        <v>58</v>
      </c>
      <c r="E380" s="1" t="s">
        <v>17</v>
      </c>
      <c r="F380" s="1" t="s">
        <v>1521</v>
      </c>
      <c r="G380" s="1" t="s">
        <v>195</v>
      </c>
      <c r="H380" s="1" t="s">
        <v>42</v>
      </c>
      <c r="I380" s="1" t="s">
        <v>21</v>
      </c>
      <c r="J380" s="1" t="s">
        <v>21</v>
      </c>
      <c r="K380">
        <v>2500</v>
      </c>
      <c r="L380">
        <v>2207</v>
      </c>
      <c r="M380">
        <v>0</v>
      </c>
    </row>
    <row r="381" spans="1:13" x14ac:dyDescent="0.35">
      <c r="A381" s="1" t="s">
        <v>1522</v>
      </c>
      <c r="B381" s="1" t="s">
        <v>1523</v>
      </c>
      <c r="C381" s="1" t="s">
        <v>1524</v>
      </c>
      <c r="D381" s="1" t="s">
        <v>135</v>
      </c>
      <c r="E381" s="1" t="s">
        <v>17</v>
      </c>
      <c r="F381" s="1" t="s">
        <v>1525</v>
      </c>
      <c r="G381" s="1" t="s">
        <v>126</v>
      </c>
      <c r="H381" s="1" t="s">
        <v>54</v>
      </c>
      <c r="I381" s="1" t="s">
        <v>21</v>
      </c>
      <c r="J381" s="1" t="s">
        <v>286</v>
      </c>
      <c r="K381">
        <v>2500</v>
      </c>
      <c r="L381">
        <v>2800</v>
      </c>
      <c r="M381">
        <v>0</v>
      </c>
    </row>
    <row r="382" spans="1:13" x14ac:dyDescent="0.35">
      <c r="A382" s="1" t="s">
        <v>1526</v>
      </c>
      <c r="B382" s="1" t="s">
        <v>1527</v>
      </c>
      <c r="C382" s="1" t="s">
        <v>1528</v>
      </c>
      <c r="D382" s="1" t="s">
        <v>284</v>
      </c>
      <c r="E382" s="1" t="s">
        <v>17</v>
      </c>
      <c r="F382" s="1" t="s">
        <v>1529</v>
      </c>
      <c r="G382" s="1" t="s">
        <v>65</v>
      </c>
      <c r="H382" s="1" t="s">
        <v>20</v>
      </c>
      <c r="I382" s="1" t="s">
        <v>21</v>
      </c>
      <c r="J382" s="1" t="s">
        <v>79</v>
      </c>
      <c r="K382">
        <v>2500</v>
      </c>
      <c r="L382">
        <v>2067</v>
      </c>
      <c r="M382">
        <v>0</v>
      </c>
    </row>
    <row r="383" spans="1:13" x14ac:dyDescent="0.35">
      <c r="A383" s="1" t="s">
        <v>1530</v>
      </c>
      <c r="B383" s="1" t="s">
        <v>1531</v>
      </c>
      <c r="C383" s="1" t="s">
        <v>1532</v>
      </c>
      <c r="D383" s="1" t="s">
        <v>25</v>
      </c>
      <c r="E383" s="1" t="s">
        <v>32</v>
      </c>
      <c r="F383" s="1" t="s">
        <v>1533</v>
      </c>
      <c r="G383" s="1" t="s">
        <v>41</v>
      </c>
      <c r="H383" s="1" t="s">
        <v>106</v>
      </c>
      <c r="I383" s="1" t="s">
        <v>21</v>
      </c>
      <c r="J383" s="1" t="s">
        <v>21</v>
      </c>
      <c r="K383">
        <v>0</v>
      </c>
      <c r="L383">
        <v>951</v>
      </c>
      <c r="M383">
        <v>0</v>
      </c>
    </row>
    <row r="384" spans="1:13" x14ac:dyDescent="0.35">
      <c r="A384" s="1" t="s">
        <v>1534</v>
      </c>
      <c r="B384" s="1" t="s">
        <v>1535</v>
      </c>
      <c r="C384" s="1" t="s">
        <v>1536</v>
      </c>
      <c r="D384" s="1" t="s">
        <v>25</v>
      </c>
      <c r="E384" s="1" t="s">
        <v>39</v>
      </c>
      <c r="F384" s="1" t="s">
        <v>1537</v>
      </c>
      <c r="G384" s="1" t="s">
        <v>126</v>
      </c>
      <c r="H384" s="1" t="s">
        <v>35</v>
      </c>
      <c r="I384" s="1" t="s">
        <v>21</v>
      </c>
      <c r="J384" s="1" t="s">
        <v>21</v>
      </c>
      <c r="K384">
        <v>7500</v>
      </c>
      <c r="L384">
        <v>4039</v>
      </c>
      <c r="M384">
        <v>0</v>
      </c>
    </row>
    <row r="385" spans="1:13" x14ac:dyDescent="0.35">
      <c r="A385" s="1" t="s">
        <v>1538</v>
      </c>
      <c r="B385" s="1" t="s">
        <v>1539</v>
      </c>
      <c r="C385" s="1" t="s">
        <v>1540</v>
      </c>
      <c r="D385" s="1" t="s">
        <v>25</v>
      </c>
      <c r="E385" s="1" t="s">
        <v>32</v>
      </c>
      <c r="F385" s="1" t="s">
        <v>1541</v>
      </c>
      <c r="G385" s="1" t="s">
        <v>381</v>
      </c>
      <c r="H385" s="1" t="s">
        <v>42</v>
      </c>
      <c r="I385" s="1" t="s">
        <v>21</v>
      </c>
      <c r="J385" s="1" t="s">
        <v>71</v>
      </c>
      <c r="K385">
        <v>0</v>
      </c>
      <c r="L385">
        <v>2715</v>
      </c>
      <c r="M385">
        <v>0</v>
      </c>
    </row>
    <row r="386" spans="1:13" x14ac:dyDescent="0.35">
      <c r="A386" s="1" t="s">
        <v>1542</v>
      </c>
      <c r="B386" s="1" t="s">
        <v>1543</v>
      </c>
      <c r="C386" s="1" t="s">
        <v>1544</v>
      </c>
      <c r="D386" s="1" t="s">
        <v>58</v>
      </c>
      <c r="E386" s="1" t="s">
        <v>52</v>
      </c>
      <c r="F386" s="1" t="s">
        <v>1545</v>
      </c>
      <c r="G386" s="1" t="s">
        <v>65</v>
      </c>
      <c r="H386" s="1" t="s">
        <v>77</v>
      </c>
      <c r="I386" s="1" t="s">
        <v>131</v>
      </c>
      <c r="J386" s="1" t="s">
        <v>21</v>
      </c>
      <c r="K386">
        <v>6500</v>
      </c>
      <c r="L386">
        <v>2659</v>
      </c>
      <c r="M386">
        <v>0</v>
      </c>
    </row>
    <row r="387" spans="1:13" x14ac:dyDescent="0.35">
      <c r="A387" s="1" t="s">
        <v>1546</v>
      </c>
      <c r="B387" s="1" t="s">
        <v>1547</v>
      </c>
      <c r="C387" s="1" t="s">
        <v>1548</v>
      </c>
      <c r="D387" s="1" t="s">
        <v>75</v>
      </c>
      <c r="E387" s="1" t="s">
        <v>32</v>
      </c>
      <c r="F387" s="1" t="s">
        <v>1549</v>
      </c>
      <c r="G387" s="1" t="s">
        <v>65</v>
      </c>
      <c r="H387" s="1" t="s">
        <v>42</v>
      </c>
      <c r="I387" s="1" t="s">
        <v>21</v>
      </c>
      <c r="J387" s="1" t="s">
        <v>71</v>
      </c>
      <c r="K387">
        <v>0</v>
      </c>
      <c r="L387">
        <v>896</v>
      </c>
      <c r="M387">
        <v>1</v>
      </c>
    </row>
    <row r="388" spans="1:13" x14ac:dyDescent="0.35">
      <c r="A388" s="1" t="s">
        <v>1550</v>
      </c>
      <c r="B388" s="1" t="s">
        <v>1551</v>
      </c>
      <c r="C388" s="1" t="s">
        <v>1552</v>
      </c>
      <c r="D388" s="1" t="s">
        <v>16</v>
      </c>
      <c r="E388" s="1" t="s">
        <v>17</v>
      </c>
      <c r="F388" s="1" t="s">
        <v>1553</v>
      </c>
      <c r="G388" s="1" t="s">
        <v>264</v>
      </c>
      <c r="H388" s="1" t="s">
        <v>54</v>
      </c>
      <c r="I388" s="1" t="s">
        <v>21</v>
      </c>
      <c r="J388" s="1" t="s">
        <v>21</v>
      </c>
      <c r="K388">
        <v>2500</v>
      </c>
      <c r="L388">
        <v>398</v>
      </c>
      <c r="M388">
        <v>0</v>
      </c>
    </row>
    <row r="389" spans="1:13" x14ac:dyDescent="0.35">
      <c r="A389" s="1" t="s">
        <v>1554</v>
      </c>
      <c r="B389" s="1" t="s">
        <v>1555</v>
      </c>
      <c r="C389" s="1" t="s">
        <v>1556</v>
      </c>
      <c r="D389" s="1" t="s">
        <v>75</v>
      </c>
      <c r="E389" s="1" t="s">
        <v>32</v>
      </c>
      <c r="F389" s="1" t="s">
        <v>1557</v>
      </c>
      <c r="G389" s="1" t="s">
        <v>41</v>
      </c>
      <c r="H389" s="1" t="s">
        <v>35</v>
      </c>
      <c r="I389" s="1" t="s">
        <v>21</v>
      </c>
      <c r="J389" s="1" t="s">
        <v>71</v>
      </c>
      <c r="K389">
        <v>0</v>
      </c>
      <c r="L389">
        <v>851</v>
      </c>
      <c r="M389">
        <v>0</v>
      </c>
    </row>
    <row r="390" spans="1:13" x14ac:dyDescent="0.35">
      <c r="A390" s="1" t="s">
        <v>1558</v>
      </c>
      <c r="B390" s="1" t="s">
        <v>1559</v>
      </c>
      <c r="C390" s="1" t="s">
        <v>1560</v>
      </c>
      <c r="D390" s="1" t="s">
        <v>58</v>
      </c>
      <c r="E390" s="1" t="s">
        <v>52</v>
      </c>
      <c r="F390" s="1" t="s">
        <v>1561</v>
      </c>
      <c r="G390" s="1" t="s">
        <v>41</v>
      </c>
      <c r="H390" s="1" t="s">
        <v>20</v>
      </c>
      <c r="I390" s="1" t="s">
        <v>21</v>
      </c>
      <c r="J390" s="1" t="s">
        <v>21</v>
      </c>
      <c r="K390">
        <v>6500</v>
      </c>
      <c r="L390">
        <v>3176</v>
      </c>
      <c r="M390">
        <v>0</v>
      </c>
    </row>
    <row r="391" spans="1:13" x14ac:dyDescent="0.35">
      <c r="A391" s="1" t="s">
        <v>1562</v>
      </c>
      <c r="B391" s="1" t="s">
        <v>1563</v>
      </c>
      <c r="C391" s="1" t="s">
        <v>1564</v>
      </c>
      <c r="D391" s="1" t="s">
        <v>150</v>
      </c>
      <c r="E391" s="1" t="s">
        <v>17</v>
      </c>
      <c r="F391" s="1" t="s">
        <v>1565</v>
      </c>
      <c r="G391" s="1" t="s">
        <v>126</v>
      </c>
      <c r="H391" s="1" t="s">
        <v>106</v>
      </c>
      <c r="I391" s="1" t="s">
        <v>21</v>
      </c>
      <c r="J391" s="1" t="s">
        <v>71</v>
      </c>
      <c r="K391">
        <v>2500</v>
      </c>
      <c r="L391">
        <v>2654</v>
      </c>
      <c r="M391">
        <v>0</v>
      </c>
    </row>
    <row r="392" spans="1:13" x14ac:dyDescent="0.35">
      <c r="A392" s="1" t="s">
        <v>1566</v>
      </c>
      <c r="B392" s="1" t="s">
        <v>1567</v>
      </c>
      <c r="C392" s="1" t="s">
        <v>1568</v>
      </c>
      <c r="D392" s="1" t="s">
        <v>25</v>
      </c>
      <c r="E392" s="1" t="s">
        <v>32</v>
      </c>
      <c r="F392" s="1" t="s">
        <v>1569</v>
      </c>
      <c r="G392" s="1" t="s">
        <v>137</v>
      </c>
      <c r="H392" s="1" t="s">
        <v>42</v>
      </c>
      <c r="I392" s="1" t="s">
        <v>21</v>
      </c>
      <c r="J392" s="1" t="s">
        <v>121</v>
      </c>
      <c r="K392">
        <v>0</v>
      </c>
      <c r="L392">
        <v>3028</v>
      </c>
      <c r="M392">
        <v>1</v>
      </c>
    </row>
    <row r="393" spans="1:13" x14ac:dyDescent="0.35">
      <c r="A393" s="1" t="s">
        <v>1570</v>
      </c>
      <c r="B393" s="1" t="s">
        <v>1112</v>
      </c>
      <c r="C393" s="1" t="s">
        <v>1571</v>
      </c>
      <c r="D393" s="1" t="s">
        <v>25</v>
      </c>
      <c r="E393" s="1" t="s">
        <v>39</v>
      </c>
      <c r="F393" s="1" t="s">
        <v>1572</v>
      </c>
      <c r="G393" s="1" t="s">
        <v>41</v>
      </c>
      <c r="H393" s="1" t="s">
        <v>106</v>
      </c>
      <c r="I393" s="1" t="s">
        <v>21</v>
      </c>
      <c r="J393" s="1" t="s">
        <v>71</v>
      </c>
      <c r="K393">
        <v>7500</v>
      </c>
      <c r="L393">
        <v>2124</v>
      </c>
      <c r="M393">
        <v>0</v>
      </c>
    </row>
    <row r="394" spans="1:13" x14ac:dyDescent="0.35">
      <c r="A394" s="1" t="s">
        <v>1573</v>
      </c>
      <c r="B394" s="1" t="s">
        <v>1574</v>
      </c>
      <c r="C394" s="1" t="s">
        <v>1575</v>
      </c>
      <c r="D394" s="1" t="s">
        <v>58</v>
      </c>
      <c r="E394" s="1" t="s">
        <v>39</v>
      </c>
      <c r="F394" s="1" t="s">
        <v>1576</v>
      </c>
      <c r="G394" s="1" t="s">
        <v>195</v>
      </c>
      <c r="H394" s="1" t="s">
        <v>42</v>
      </c>
      <c r="I394" s="1" t="s">
        <v>21</v>
      </c>
      <c r="J394" s="1" t="s">
        <v>21</v>
      </c>
      <c r="K394">
        <v>7500</v>
      </c>
      <c r="L394">
        <v>1127</v>
      </c>
      <c r="M394">
        <v>0</v>
      </c>
    </row>
    <row r="395" spans="1:13" x14ac:dyDescent="0.35">
      <c r="A395" s="1" t="s">
        <v>1577</v>
      </c>
      <c r="B395" s="1" t="s">
        <v>1578</v>
      </c>
      <c r="C395" s="1" t="s">
        <v>1579</v>
      </c>
      <c r="D395" s="1" t="s">
        <v>16</v>
      </c>
      <c r="E395" s="1" t="s">
        <v>52</v>
      </c>
      <c r="F395" s="1" t="s">
        <v>1580</v>
      </c>
      <c r="G395" s="1" t="s">
        <v>65</v>
      </c>
      <c r="H395" s="1" t="s">
        <v>54</v>
      </c>
      <c r="I395" s="1" t="s">
        <v>112</v>
      </c>
      <c r="J395" s="1" t="s">
        <v>21</v>
      </c>
      <c r="K395">
        <v>6500</v>
      </c>
      <c r="L395">
        <v>248</v>
      </c>
      <c r="M395">
        <v>0</v>
      </c>
    </row>
    <row r="396" spans="1:13" x14ac:dyDescent="0.35">
      <c r="A396" s="1" t="s">
        <v>1581</v>
      </c>
      <c r="B396" s="1" t="s">
        <v>1582</v>
      </c>
      <c r="C396" s="1" t="s">
        <v>1583</v>
      </c>
      <c r="D396" s="1" t="s">
        <v>25</v>
      </c>
      <c r="E396" s="1" t="s">
        <v>32</v>
      </c>
      <c r="F396" s="1" t="s">
        <v>1584</v>
      </c>
      <c r="G396" s="1" t="s">
        <v>126</v>
      </c>
      <c r="H396" s="1" t="s">
        <v>54</v>
      </c>
      <c r="I396" s="1" t="s">
        <v>21</v>
      </c>
      <c r="J396" s="1" t="s">
        <v>21</v>
      </c>
      <c r="K396">
        <v>0</v>
      </c>
      <c r="L396">
        <v>4939</v>
      </c>
      <c r="M396">
        <v>0</v>
      </c>
    </row>
    <row r="397" spans="1:13" x14ac:dyDescent="0.35">
      <c r="A397" s="1" t="s">
        <v>1585</v>
      </c>
      <c r="B397" s="1" t="s">
        <v>1586</v>
      </c>
      <c r="C397" s="1" t="s">
        <v>1587</v>
      </c>
      <c r="D397" s="1" t="s">
        <v>25</v>
      </c>
      <c r="E397" s="1" t="s">
        <v>17</v>
      </c>
      <c r="F397" s="1" t="s">
        <v>1588</v>
      </c>
      <c r="G397" s="1" t="s">
        <v>126</v>
      </c>
      <c r="H397" s="1" t="s">
        <v>60</v>
      </c>
      <c r="I397" s="1" t="s">
        <v>21</v>
      </c>
      <c r="J397" s="1" t="s">
        <v>121</v>
      </c>
      <c r="K397">
        <v>2500</v>
      </c>
      <c r="L397">
        <v>4762</v>
      </c>
      <c r="M397">
        <v>0</v>
      </c>
    </row>
    <row r="398" spans="1:13" x14ac:dyDescent="0.35">
      <c r="A398" s="1" t="s">
        <v>1589</v>
      </c>
      <c r="B398" s="1" t="s">
        <v>1590</v>
      </c>
      <c r="C398" s="1" t="s">
        <v>1591</v>
      </c>
      <c r="D398" s="1" t="s">
        <v>75</v>
      </c>
      <c r="E398" s="1" t="s">
        <v>94</v>
      </c>
      <c r="F398" s="1" t="s">
        <v>1592</v>
      </c>
      <c r="G398" s="1" t="s">
        <v>41</v>
      </c>
      <c r="H398" s="1" t="s">
        <v>54</v>
      </c>
      <c r="I398" s="1" t="s">
        <v>21</v>
      </c>
      <c r="J398" s="1" t="s">
        <v>71</v>
      </c>
      <c r="K398">
        <v>1500</v>
      </c>
      <c r="L398">
        <v>3626</v>
      </c>
      <c r="M398">
        <v>0</v>
      </c>
    </row>
    <row r="399" spans="1:13" x14ac:dyDescent="0.35">
      <c r="A399" s="1" t="s">
        <v>1593</v>
      </c>
      <c r="B399" s="1" t="s">
        <v>1594</v>
      </c>
      <c r="C399" s="1" t="s">
        <v>1595</v>
      </c>
      <c r="D399" s="1" t="s">
        <v>16</v>
      </c>
      <c r="E399" s="1" t="s">
        <v>32</v>
      </c>
      <c r="F399" s="1" t="s">
        <v>1596</v>
      </c>
      <c r="G399" s="1" t="s">
        <v>126</v>
      </c>
      <c r="H399" s="1" t="s">
        <v>77</v>
      </c>
      <c r="I399" s="1" t="s">
        <v>21</v>
      </c>
      <c r="J399" s="1" t="s">
        <v>21</v>
      </c>
      <c r="K399">
        <v>0</v>
      </c>
      <c r="L399">
        <v>4068</v>
      </c>
      <c r="M399">
        <v>0</v>
      </c>
    </row>
    <row r="400" spans="1:13" x14ac:dyDescent="0.35">
      <c r="A400" s="1" t="s">
        <v>1597</v>
      </c>
      <c r="B400" s="1" t="s">
        <v>1598</v>
      </c>
      <c r="C400" s="1" t="s">
        <v>1599</v>
      </c>
      <c r="D400" s="1" t="s">
        <v>16</v>
      </c>
      <c r="E400" s="1" t="s">
        <v>32</v>
      </c>
      <c r="F400" s="1" t="s">
        <v>1600</v>
      </c>
      <c r="G400" s="1" t="s">
        <v>65</v>
      </c>
      <c r="H400" s="1" t="s">
        <v>106</v>
      </c>
      <c r="I400" s="1" t="s">
        <v>21</v>
      </c>
      <c r="J400" s="1" t="s">
        <v>21</v>
      </c>
      <c r="L400">
        <v>2963</v>
      </c>
      <c r="M400">
        <v>0</v>
      </c>
    </row>
    <row r="401" spans="1:13" x14ac:dyDescent="0.35">
      <c r="A401" s="1" t="s">
        <v>1601</v>
      </c>
      <c r="B401" s="1" t="s">
        <v>1602</v>
      </c>
      <c r="C401" s="1" t="s">
        <v>1603</v>
      </c>
      <c r="D401" s="1" t="s">
        <v>25</v>
      </c>
      <c r="E401" s="1" t="s">
        <v>32</v>
      </c>
      <c r="F401" s="1" t="s">
        <v>1604</v>
      </c>
      <c r="G401" s="1" t="s">
        <v>48</v>
      </c>
      <c r="H401" s="1" t="s">
        <v>42</v>
      </c>
      <c r="I401" s="1" t="s">
        <v>21</v>
      </c>
      <c r="J401" s="1" t="s">
        <v>21</v>
      </c>
      <c r="K401">
        <v>0</v>
      </c>
      <c r="L401">
        <v>3845</v>
      </c>
      <c r="M401">
        <v>0</v>
      </c>
    </row>
    <row r="402" spans="1:13" x14ac:dyDescent="0.35">
      <c r="A402" s="1" t="s">
        <v>1605</v>
      </c>
      <c r="B402" s="1" t="s">
        <v>1606</v>
      </c>
      <c r="C402" s="1" t="s">
        <v>1607</v>
      </c>
      <c r="D402" s="1" t="s">
        <v>16</v>
      </c>
      <c r="E402" s="1" t="s">
        <v>52</v>
      </c>
      <c r="F402" s="1" t="s">
        <v>1608</v>
      </c>
      <c r="G402" s="1" t="s">
        <v>264</v>
      </c>
      <c r="H402" s="1" t="s">
        <v>42</v>
      </c>
      <c r="I402" s="1" t="s">
        <v>112</v>
      </c>
      <c r="J402" s="1" t="s">
        <v>21</v>
      </c>
      <c r="K402">
        <v>6500</v>
      </c>
      <c r="L402">
        <v>965</v>
      </c>
      <c r="M402">
        <v>0</v>
      </c>
    </row>
    <row r="403" spans="1:13" x14ac:dyDescent="0.35">
      <c r="A403" s="1" t="s">
        <v>1609</v>
      </c>
      <c r="B403" s="1" t="s">
        <v>1610</v>
      </c>
      <c r="C403" s="1" t="s">
        <v>1611</v>
      </c>
      <c r="D403" s="1" t="s">
        <v>46</v>
      </c>
      <c r="E403" s="1" t="s">
        <v>52</v>
      </c>
      <c r="F403" s="1" t="s">
        <v>1612</v>
      </c>
      <c r="G403" s="1" t="s">
        <v>27</v>
      </c>
      <c r="H403" s="1" t="s">
        <v>106</v>
      </c>
      <c r="I403" s="1" t="s">
        <v>66</v>
      </c>
      <c r="J403" s="1" t="s">
        <v>21</v>
      </c>
      <c r="K403">
        <v>6500</v>
      </c>
      <c r="L403">
        <v>682</v>
      </c>
      <c r="M403">
        <v>0</v>
      </c>
    </row>
    <row r="404" spans="1:13" x14ac:dyDescent="0.35">
      <c r="A404" s="1" t="s">
        <v>1613</v>
      </c>
      <c r="B404" s="1" t="s">
        <v>1080</v>
      </c>
      <c r="C404" s="1" t="s">
        <v>1614</v>
      </c>
      <c r="D404" s="1" t="s">
        <v>150</v>
      </c>
      <c r="E404" s="1" t="s">
        <v>17</v>
      </c>
      <c r="F404" s="1" t="s">
        <v>1615</v>
      </c>
      <c r="G404" s="1" t="s">
        <v>65</v>
      </c>
      <c r="H404" s="1" t="s">
        <v>20</v>
      </c>
      <c r="I404" s="1" t="s">
        <v>21</v>
      </c>
      <c r="J404" s="1" t="s">
        <v>21</v>
      </c>
      <c r="K404">
        <v>2500</v>
      </c>
      <c r="L404">
        <v>4213</v>
      </c>
      <c r="M404">
        <v>1</v>
      </c>
    </row>
    <row r="405" spans="1:13" x14ac:dyDescent="0.35">
      <c r="A405" s="1" t="s">
        <v>1616</v>
      </c>
      <c r="B405" s="1" t="s">
        <v>1617</v>
      </c>
      <c r="C405" s="1" t="s">
        <v>1618</v>
      </c>
      <c r="D405" s="1" t="s">
        <v>93</v>
      </c>
      <c r="E405" s="1" t="s">
        <v>17</v>
      </c>
      <c r="F405" s="1" t="s">
        <v>1619</v>
      </c>
      <c r="G405" s="1" t="s">
        <v>65</v>
      </c>
      <c r="H405" s="1" t="s">
        <v>106</v>
      </c>
      <c r="I405" s="1" t="s">
        <v>21</v>
      </c>
      <c r="J405" s="1" t="s">
        <v>21</v>
      </c>
      <c r="K405">
        <v>2500</v>
      </c>
      <c r="L405">
        <v>797</v>
      </c>
      <c r="M405">
        <v>0</v>
      </c>
    </row>
    <row r="406" spans="1:13" x14ac:dyDescent="0.35">
      <c r="A406" s="1" t="s">
        <v>1620</v>
      </c>
      <c r="B406" s="1" t="s">
        <v>1621</v>
      </c>
      <c r="C406" s="1" t="s">
        <v>1622</v>
      </c>
      <c r="D406" s="1" t="s">
        <v>167</v>
      </c>
      <c r="E406" s="1" t="s">
        <v>94</v>
      </c>
      <c r="F406" s="1" t="s">
        <v>1623</v>
      </c>
      <c r="G406" s="1" t="s">
        <v>65</v>
      </c>
      <c r="H406" s="1" t="s">
        <v>42</v>
      </c>
      <c r="I406" s="1" t="s">
        <v>21</v>
      </c>
      <c r="J406" s="1" t="s">
        <v>21</v>
      </c>
      <c r="K406">
        <v>1500</v>
      </c>
      <c r="L406">
        <v>3943</v>
      </c>
      <c r="M406">
        <v>0</v>
      </c>
    </row>
    <row r="407" spans="1:13" x14ac:dyDescent="0.35">
      <c r="A407" s="1" t="s">
        <v>1624</v>
      </c>
      <c r="B407" s="1" t="s">
        <v>1625</v>
      </c>
      <c r="C407" s="1" t="s">
        <v>1626</v>
      </c>
      <c r="D407" s="1" t="s">
        <v>135</v>
      </c>
      <c r="E407" s="1" t="s">
        <v>39</v>
      </c>
      <c r="F407" s="1" t="s">
        <v>1627</v>
      </c>
      <c r="G407" s="1" t="s">
        <v>27</v>
      </c>
      <c r="H407" s="1" t="s">
        <v>60</v>
      </c>
      <c r="I407" s="1" t="s">
        <v>21</v>
      </c>
      <c r="J407" s="1" t="s">
        <v>121</v>
      </c>
      <c r="K407">
        <v>7500</v>
      </c>
      <c r="L407">
        <v>276</v>
      </c>
      <c r="M407">
        <v>0</v>
      </c>
    </row>
    <row r="408" spans="1:13" x14ac:dyDescent="0.35">
      <c r="A408" s="1" t="s">
        <v>1628</v>
      </c>
      <c r="B408" s="1" t="s">
        <v>1629</v>
      </c>
      <c r="C408" s="1" t="s">
        <v>1630</v>
      </c>
      <c r="D408" s="1" t="s">
        <v>25</v>
      </c>
      <c r="E408" s="1" t="s">
        <v>39</v>
      </c>
      <c r="F408" s="1" t="s">
        <v>1631</v>
      </c>
      <c r="G408" s="1" t="s">
        <v>485</v>
      </c>
      <c r="H408" s="1" t="s">
        <v>35</v>
      </c>
      <c r="I408" s="1" t="s">
        <v>21</v>
      </c>
      <c r="J408" s="1" t="s">
        <v>79</v>
      </c>
      <c r="K408">
        <v>7500</v>
      </c>
      <c r="L408">
        <v>4747</v>
      </c>
      <c r="M408">
        <v>0</v>
      </c>
    </row>
    <row r="409" spans="1:13" x14ac:dyDescent="0.35">
      <c r="A409" s="1" t="s">
        <v>1632</v>
      </c>
      <c r="B409" s="1" t="s">
        <v>1633</v>
      </c>
      <c r="C409" s="1" t="s">
        <v>1634</v>
      </c>
      <c r="D409" s="1" t="s">
        <v>75</v>
      </c>
      <c r="E409" s="1" t="s">
        <v>32</v>
      </c>
      <c r="F409" s="1" t="s">
        <v>1635</v>
      </c>
      <c r="G409" s="1" t="s">
        <v>65</v>
      </c>
      <c r="H409" s="1" t="s">
        <v>20</v>
      </c>
      <c r="I409" s="1" t="s">
        <v>21</v>
      </c>
      <c r="J409" s="1" t="s">
        <v>79</v>
      </c>
      <c r="K409">
        <v>0</v>
      </c>
      <c r="L409">
        <v>1910</v>
      </c>
      <c r="M409">
        <v>0</v>
      </c>
    </row>
    <row r="410" spans="1:13" x14ac:dyDescent="0.35">
      <c r="A410" s="1" t="s">
        <v>1636</v>
      </c>
      <c r="B410" s="1" t="s">
        <v>1637</v>
      </c>
      <c r="C410" s="1" t="s">
        <v>1638</v>
      </c>
      <c r="D410" s="1" t="s">
        <v>75</v>
      </c>
      <c r="E410" s="1" t="s">
        <v>32</v>
      </c>
      <c r="F410" s="1" t="s">
        <v>1639</v>
      </c>
      <c r="G410" s="1" t="s">
        <v>41</v>
      </c>
      <c r="H410" s="1" t="s">
        <v>106</v>
      </c>
      <c r="I410" s="1" t="s">
        <v>21</v>
      </c>
      <c r="J410" s="1" t="s">
        <v>21</v>
      </c>
      <c r="L410">
        <v>1280</v>
      </c>
      <c r="M410">
        <v>0</v>
      </c>
    </row>
    <row r="411" spans="1:13" x14ac:dyDescent="0.35">
      <c r="A411" s="1" t="s">
        <v>21</v>
      </c>
      <c r="B411" s="1" t="s">
        <v>21</v>
      </c>
      <c r="C411" s="1" t="s">
        <v>1640</v>
      </c>
      <c r="D411" s="1" t="s">
        <v>58</v>
      </c>
      <c r="E411" s="1" t="s">
        <v>17</v>
      </c>
      <c r="F411" s="1" t="s">
        <v>21</v>
      </c>
      <c r="G411" s="1" t="s">
        <v>21</v>
      </c>
      <c r="H411" s="1" t="s">
        <v>35</v>
      </c>
      <c r="I411" s="1" t="s">
        <v>21</v>
      </c>
      <c r="J411" s="1" t="s">
        <v>21</v>
      </c>
      <c r="M411">
        <v>0</v>
      </c>
    </row>
    <row r="412" spans="1:13" x14ac:dyDescent="0.35">
      <c r="A412" s="1" t="s">
        <v>1641</v>
      </c>
      <c r="B412" s="1" t="s">
        <v>1642</v>
      </c>
      <c r="C412" s="1" t="s">
        <v>1643</v>
      </c>
      <c r="D412" s="1" t="s">
        <v>75</v>
      </c>
      <c r="E412" s="1" t="s">
        <v>52</v>
      </c>
      <c r="F412" s="1" t="s">
        <v>1644</v>
      </c>
      <c r="G412" s="1" t="s">
        <v>65</v>
      </c>
      <c r="H412" s="1" t="s">
        <v>60</v>
      </c>
      <c r="I412" s="1" t="s">
        <v>66</v>
      </c>
      <c r="J412" s="1" t="s">
        <v>71</v>
      </c>
      <c r="K412">
        <v>6500</v>
      </c>
      <c r="L412">
        <v>3400</v>
      </c>
      <c r="M412">
        <v>0</v>
      </c>
    </row>
    <row r="413" spans="1:13" x14ac:dyDescent="0.35">
      <c r="A413" s="1" t="s">
        <v>1645</v>
      </c>
      <c r="B413" s="1" t="s">
        <v>1646</v>
      </c>
      <c r="C413" s="1" t="s">
        <v>1647</v>
      </c>
      <c r="D413" s="1" t="s">
        <v>110</v>
      </c>
      <c r="E413" s="1" t="s">
        <v>32</v>
      </c>
      <c r="F413" s="1" t="s">
        <v>1648</v>
      </c>
      <c r="G413" s="1" t="s">
        <v>19</v>
      </c>
      <c r="H413" s="1" t="s">
        <v>106</v>
      </c>
      <c r="I413" s="1" t="s">
        <v>21</v>
      </c>
      <c r="J413" s="1" t="s">
        <v>21</v>
      </c>
      <c r="K413">
        <v>0</v>
      </c>
      <c r="L413">
        <v>360</v>
      </c>
      <c r="M413">
        <v>0</v>
      </c>
    </row>
    <row r="414" spans="1:13" x14ac:dyDescent="0.35">
      <c r="A414" s="1" t="s">
        <v>1649</v>
      </c>
      <c r="B414" s="1" t="s">
        <v>1116</v>
      </c>
      <c r="C414" s="1" t="s">
        <v>1650</v>
      </c>
      <c r="D414" s="1" t="s">
        <v>58</v>
      </c>
      <c r="E414" s="1" t="s">
        <v>17</v>
      </c>
      <c r="F414" s="1" t="s">
        <v>1651</v>
      </c>
      <c r="G414" s="1" t="s">
        <v>41</v>
      </c>
      <c r="H414" s="1" t="s">
        <v>54</v>
      </c>
      <c r="I414" s="1" t="s">
        <v>21</v>
      </c>
      <c r="J414" s="1" t="s">
        <v>21</v>
      </c>
      <c r="K414">
        <v>2500</v>
      </c>
      <c r="L414">
        <v>4106</v>
      </c>
      <c r="M414">
        <v>0</v>
      </c>
    </row>
    <row r="415" spans="1:13" x14ac:dyDescent="0.35">
      <c r="A415" s="1" t="s">
        <v>1652</v>
      </c>
      <c r="B415" s="1" t="s">
        <v>785</v>
      </c>
      <c r="C415" s="1" t="s">
        <v>1653</v>
      </c>
      <c r="D415" s="1" t="s">
        <v>16</v>
      </c>
      <c r="E415" s="1" t="s">
        <v>32</v>
      </c>
      <c r="F415" s="1" t="s">
        <v>1654</v>
      </c>
      <c r="G415" s="1" t="s">
        <v>65</v>
      </c>
      <c r="H415" s="1" t="s">
        <v>42</v>
      </c>
      <c r="I415" s="1" t="s">
        <v>21</v>
      </c>
      <c r="J415" s="1" t="s">
        <v>21</v>
      </c>
      <c r="K415">
        <v>0</v>
      </c>
      <c r="L415">
        <v>2984</v>
      </c>
      <c r="M415">
        <v>0</v>
      </c>
    </row>
    <row r="416" spans="1:13" x14ac:dyDescent="0.35">
      <c r="A416" s="1" t="s">
        <v>1655</v>
      </c>
      <c r="B416" s="1" t="s">
        <v>1511</v>
      </c>
      <c r="C416" s="1" t="s">
        <v>1656</v>
      </c>
      <c r="D416" s="1" t="s">
        <v>93</v>
      </c>
      <c r="E416" s="1" t="s">
        <v>39</v>
      </c>
      <c r="F416" s="1" t="s">
        <v>1657</v>
      </c>
      <c r="G416" s="1" t="s">
        <v>65</v>
      </c>
      <c r="H416" s="1" t="s">
        <v>54</v>
      </c>
      <c r="I416" s="1" t="s">
        <v>21</v>
      </c>
      <c r="J416" s="1" t="s">
        <v>71</v>
      </c>
      <c r="K416">
        <v>7500</v>
      </c>
      <c r="L416">
        <v>4028</v>
      </c>
      <c r="M416">
        <v>0</v>
      </c>
    </row>
    <row r="417" spans="1:13" x14ac:dyDescent="0.35">
      <c r="A417" s="1" t="s">
        <v>1658</v>
      </c>
      <c r="B417" s="1" t="s">
        <v>1659</v>
      </c>
      <c r="C417" s="1" t="s">
        <v>1660</v>
      </c>
      <c r="D417" s="1" t="s">
        <v>75</v>
      </c>
      <c r="E417" s="1" t="s">
        <v>39</v>
      </c>
      <c r="F417" s="1" t="s">
        <v>1661</v>
      </c>
      <c r="G417" s="1" t="s">
        <v>264</v>
      </c>
      <c r="H417" s="1" t="s">
        <v>106</v>
      </c>
      <c r="I417" s="1" t="s">
        <v>21</v>
      </c>
      <c r="J417" s="1" t="s">
        <v>71</v>
      </c>
      <c r="K417">
        <v>7500</v>
      </c>
      <c r="L417">
        <v>3641</v>
      </c>
      <c r="M417">
        <v>0</v>
      </c>
    </row>
    <row r="418" spans="1:13" x14ac:dyDescent="0.35">
      <c r="A418" s="1" t="s">
        <v>21</v>
      </c>
      <c r="B418" s="1" t="s">
        <v>21</v>
      </c>
      <c r="C418" s="1" t="s">
        <v>1662</v>
      </c>
      <c r="D418" s="1" t="s">
        <v>25</v>
      </c>
      <c r="E418" s="1" t="s">
        <v>17</v>
      </c>
      <c r="F418" s="1" t="s">
        <v>21</v>
      </c>
      <c r="G418" s="1" t="s">
        <v>21</v>
      </c>
      <c r="H418" s="1" t="s">
        <v>106</v>
      </c>
      <c r="I418" s="1" t="s">
        <v>21</v>
      </c>
      <c r="J418" s="1" t="s">
        <v>21</v>
      </c>
      <c r="M418">
        <v>0</v>
      </c>
    </row>
    <row r="419" spans="1:13" x14ac:dyDescent="0.35">
      <c r="A419" s="1" t="s">
        <v>1663</v>
      </c>
      <c r="B419" s="1" t="s">
        <v>1664</v>
      </c>
      <c r="C419" s="1" t="s">
        <v>1665</v>
      </c>
      <c r="D419" s="1" t="s">
        <v>110</v>
      </c>
      <c r="E419" s="1" t="s">
        <v>94</v>
      </c>
      <c r="F419" s="1" t="s">
        <v>1666</v>
      </c>
      <c r="G419" s="1" t="s">
        <v>19</v>
      </c>
      <c r="H419" s="1" t="s">
        <v>42</v>
      </c>
      <c r="I419" s="1" t="s">
        <v>21</v>
      </c>
      <c r="J419" s="1" t="s">
        <v>21</v>
      </c>
      <c r="K419">
        <v>1500</v>
      </c>
      <c r="L419">
        <v>3885</v>
      </c>
      <c r="M419">
        <v>0</v>
      </c>
    </row>
    <row r="420" spans="1:13" x14ac:dyDescent="0.35">
      <c r="A420" s="1" t="s">
        <v>1667</v>
      </c>
      <c r="B420" s="1" t="s">
        <v>1668</v>
      </c>
      <c r="C420" s="1" t="s">
        <v>1669</v>
      </c>
      <c r="D420" s="1" t="s">
        <v>254</v>
      </c>
      <c r="E420" s="1" t="s">
        <v>17</v>
      </c>
      <c r="F420" s="1" t="s">
        <v>1670</v>
      </c>
      <c r="G420" s="1" t="s">
        <v>126</v>
      </c>
      <c r="H420" s="1" t="s">
        <v>42</v>
      </c>
      <c r="I420" s="1" t="s">
        <v>21</v>
      </c>
      <c r="J420" s="1" t="s">
        <v>121</v>
      </c>
      <c r="K420">
        <v>2500</v>
      </c>
      <c r="L420">
        <v>1466</v>
      </c>
      <c r="M420">
        <v>0</v>
      </c>
    </row>
    <row r="421" spans="1:13" x14ac:dyDescent="0.35">
      <c r="A421" s="1" t="s">
        <v>1671</v>
      </c>
      <c r="B421" s="1" t="s">
        <v>1672</v>
      </c>
      <c r="C421" s="1" t="s">
        <v>1673</v>
      </c>
      <c r="D421" s="1" t="s">
        <v>75</v>
      </c>
      <c r="E421" s="1" t="s">
        <v>39</v>
      </c>
      <c r="F421" s="1" t="s">
        <v>1674</v>
      </c>
      <c r="G421" s="1" t="s">
        <v>195</v>
      </c>
      <c r="H421" s="1" t="s">
        <v>96</v>
      </c>
      <c r="I421" s="1" t="s">
        <v>21</v>
      </c>
      <c r="J421" s="1" t="s">
        <v>121</v>
      </c>
      <c r="K421">
        <v>7500</v>
      </c>
      <c r="L421">
        <v>1468</v>
      </c>
      <c r="M421">
        <v>0</v>
      </c>
    </row>
    <row r="422" spans="1:13" x14ac:dyDescent="0.35">
      <c r="A422" s="1" t="s">
        <v>1675</v>
      </c>
      <c r="B422" s="1" t="s">
        <v>1676</v>
      </c>
      <c r="C422" s="1" t="s">
        <v>1677</v>
      </c>
      <c r="D422" s="1" t="s">
        <v>110</v>
      </c>
      <c r="E422" s="1" t="s">
        <v>17</v>
      </c>
      <c r="F422" s="1" t="s">
        <v>1678</v>
      </c>
      <c r="G422" s="1" t="s">
        <v>126</v>
      </c>
      <c r="H422" s="1" t="s">
        <v>35</v>
      </c>
      <c r="I422" s="1" t="s">
        <v>21</v>
      </c>
      <c r="J422" s="1" t="s">
        <v>21</v>
      </c>
      <c r="K422">
        <v>2500</v>
      </c>
      <c r="L422">
        <v>332</v>
      </c>
      <c r="M422">
        <v>0</v>
      </c>
    </row>
    <row r="423" spans="1:13" x14ac:dyDescent="0.35">
      <c r="A423" s="1" t="s">
        <v>1679</v>
      </c>
      <c r="B423" s="1" t="s">
        <v>1680</v>
      </c>
      <c r="C423" s="1" t="s">
        <v>1681</v>
      </c>
      <c r="D423" s="1" t="s">
        <v>58</v>
      </c>
      <c r="E423" s="1" t="s">
        <v>94</v>
      </c>
      <c r="F423" s="1" t="s">
        <v>1682</v>
      </c>
      <c r="G423" s="1" t="s">
        <v>41</v>
      </c>
      <c r="H423" s="1" t="s">
        <v>106</v>
      </c>
      <c r="I423" s="1" t="s">
        <v>21</v>
      </c>
      <c r="J423" s="1" t="s">
        <v>21</v>
      </c>
      <c r="K423">
        <v>1500</v>
      </c>
      <c r="L423">
        <v>3950</v>
      </c>
      <c r="M423">
        <v>0</v>
      </c>
    </row>
    <row r="424" spans="1:13" x14ac:dyDescent="0.35">
      <c r="A424" s="1" t="s">
        <v>1683</v>
      </c>
      <c r="B424" s="1" t="s">
        <v>1684</v>
      </c>
      <c r="C424" s="1" t="s">
        <v>1685</v>
      </c>
      <c r="D424" s="1" t="s">
        <v>75</v>
      </c>
      <c r="E424" s="1" t="s">
        <v>52</v>
      </c>
      <c r="F424" s="1" t="s">
        <v>1686</v>
      </c>
      <c r="G424" s="1" t="s">
        <v>485</v>
      </c>
      <c r="H424" s="1" t="s">
        <v>60</v>
      </c>
      <c r="I424" s="1" t="s">
        <v>66</v>
      </c>
      <c r="J424" s="1" t="s">
        <v>121</v>
      </c>
      <c r="K424">
        <v>6500</v>
      </c>
      <c r="L424">
        <v>4486</v>
      </c>
      <c r="M424">
        <v>0</v>
      </c>
    </row>
    <row r="425" spans="1:13" x14ac:dyDescent="0.35">
      <c r="A425" s="1" t="s">
        <v>1687</v>
      </c>
      <c r="B425" s="1" t="s">
        <v>1688</v>
      </c>
      <c r="C425" s="1" t="s">
        <v>1689</v>
      </c>
      <c r="D425" s="1" t="s">
        <v>25</v>
      </c>
      <c r="E425" s="1" t="s">
        <v>32</v>
      </c>
      <c r="F425" s="1" t="s">
        <v>1690</v>
      </c>
      <c r="G425" s="1" t="s">
        <v>65</v>
      </c>
      <c r="H425" s="1" t="s">
        <v>106</v>
      </c>
      <c r="I425" s="1" t="s">
        <v>21</v>
      </c>
      <c r="J425" s="1" t="s">
        <v>21</v>
      </c>
      <c r="K425">
        <v>0</v>
      </c>
      <c r="L425">
        <v>1143</v>
      </c>
      <c r="M425">
        <v>0</v>
      </c>
    </row>
    <row r="426" spans="1:13" x14ac:dyDescent="0.35">
      <c r="A426" s="1" t="s">
        <v>1691</v>
      </c>
      <c r="B426" s="1" t="s">
        <v>1692</v>
      </c>
      <c r="C426" s="1" t="s">
        <v>1693</v>
      </c>
      <c r="D426" s="1" t="s">
        <v>150</v>
      </c>
      <c r="E426" s="1" t="s">
        <v>17</v>
      </c>
      <c r="F426" s="1" t="s">
        <v>1694</v>
      </c>
      <c r="G426" s="1" t="s">
        <v>41</v>
      </c>
      <c r="H426" s="1" t="s">
        <v>20</v>
      </c>
      <c r="I426" s="1" t="s">
        <v>21</v>
      </c>
      <c r="J426" s="1" t="s">
        <v>79</v>
      </c>
      <c r="K426">
        <v>2500</v>
      </c>
      <c r="L426">
        <v>1681</v>
      </c>
      <c r="M426">
        <v>0</v>
      </c>
    </row>
    <row r="427" spans="1:13" x14ac:dyDescent="0.35">
      <c r="A427" s="1" t="s">
        <v>1695</v>
      </c>
      <c r="B427" s="1" t="s">
        <v>1696</v>
      </c>
      <c r="C427" s="1" t="s">
        <v>1697</v>
      </c>
      <c r="D427" s="1" t="s">
        <v>135</v>
      </c>
      <c r="E427" s="1" t="s">
        <v>52</v>
      </c>
      <c r="F427" s="1" t="s">
        <v>1698</v>
      </c>
      <c r="G427" s="1" t="s">
        <v>381</v>
      </c>
      <c r="H427" s="1" t="s">
        <v>35</v>
      </c>
      <c r="I427" s="1" t="s">
        <v>291</v>
      </c>
      <c r="J427" s="1" t="s">
        <v>79</v>
      </c>
      <c r="K427">
        <v>6500</v>
      </c>
      <c r="L427">
        <v>1781</v>
      </c>
      <c r="M427">
        <v>0</v>
      </c>
    </row>
    <row r="428" spans="1:13" x14ac:dyDescent="0.35">
      <c r="A428" s="1" t="s">
        <v>1699</v>
      </c>
      <c r="B428" s="1" t="s">
        <v>1700</v>
      </c>
      <c r="C428" s="1" t="s">
        <v>1701</v>
      </c>
      <c r="D428" s="1" t="s">
        <v>546</v>
      </c>
      <c r="E428" s="1" t="s">
        <v>94</v>
      </c>
      <c r="F428" s="1" t="s">
        <v>1702</v>
      </c>
      <c r="G428" s="1" t="s">
        <v>65</v>
      </c>
      <c r="H428" s="1" t="s">
        <v>42</v>
      </c>
      <c r="I428" s="1" t="s">
        <v>21</v>
      </c>
      <c r="J428" s="1" t="s">
        <v>121</v>
      </c>
      <c r="K428">
        <v>1500</v>
      </c>
      <c r="L428">
        <v>1274</v>
      </c>
      <c r="M428">
        <v>0</v>
      </c>
    </row>
    <row r="429" spans="1:13" x14ac:dyDescent="0.35">
      <c r="A429" s="1" t="s">
        <v>1703</v>
      </c>
      <c r="B429" s="1" t="s">
        <v>1704</v>
      </c>
      <c r="C429" s="1" t="s">
        <v>1705</v>
      </c>
      <c r="D429" s="1" t="s">
        <v>150</v>
      </c>
      <c r="E429" s="1" t="s">
        <v>52</v>
      </c>
      <c r="F429" s="1" t="s">
        <v>1706</v>
      </c>
      <c r="G429" s="1" t="s">
        <v>34</v>
      </c>
      <c r="H429" s="1" t="s">
        <v>20</v>
      </c>
      <c r="I429" s="1" t="s">
        <v>138</v>
      </c>
      <c r="J429" s="1" t="s">
        <v>121</v>
      </c>
      <c r="K429">
        <v>6500</v>
      </c>
      <c r="L429">
        <v>2736</v>
      </c>
      <c r="M429">
        <v>0</v>
      </c>
    </row>
    <row r="430" spans="1:13" x14ac:dyDescent="0.35">
      <c r="A430" s="1" t="s">
        <v>1707</v>
      </c>
      <c r="B430" s="1" t="s">
        <v>1708</v>
      </c>
      <c r="C430" s="1" t="s">
        <v>1709</v>
      </c>
      <c r="D430" s="1" t="s">
        <v>110</v>
      </c>
      <c r="E430" s="1" t="s">
        <v>94</v>
      </c>
      <c r="F430" s="1" t="s">
        <v>1710</v>
      </c>
      <c r="G430" s="1" t="s">
        <v>65</v>
      </c>
      <c r="H430" s="1" t="s">
        <v>106</v>
      </c>
      <c r="I430" s="1" t="s">
        <v>21</v>
      </c>
      <c r="J430" s="1" t="s">
        <v>21</v>
      </c>
      <c r="K430">
        <v>1500</v>
      </c>
      <c r="L430">
        <v>3509</v>
      </c>
      <c r="M430">
        <v>0</v>
      </c>
    </row>
    <row r="431" spans="1:13" x14ac:dyDescent="0.35">
      <c r="A431" s="1" t="s">
        <v>1711</v>
      </c>
      <c r="B431" s="1" t="s">
        <v>1712</v>
      </c>
      <c r="C431" s="1" t="s">
        <v>1713</v>
      </c>
      <c r="D431" s="1" t="s">
        <v>75</v>
      </c>
      <c r="E431" s="1" t="s">
        <v>17</v>
      </c>
      <c r="F431" s="1" t="s">
        <v>1714</v>
      </c>
      <c r="G431" s="1" t="s">
        <v>65</v>
      </c>
      <c r="H431" s="1" t="s">
        <v>20</v>
      </c>
      <c r="I431" s="1" t="s">
        <v>21</v>
      </c>
      <c r="J431" s="1" t="s">
        <v>226</v>
      </c>
      <c r="K431">
        <v>2500</v>
      </c>
      <c r="L431">
        <v>598</v>
      </c>
      <c r="M431">
        <v>0</v>
      </c>
    </row>
    <row r="432" spans="1:13" x14ac:dyDescent="0.35">
      <c r="A432" s="1" t="s">
        <v>1715</v>
      </c>
      <c r="B432" s="1" t="s">
        <v>1716</v>
      </c>
      <c r="C432" s="1" t="s">
        <v>1717</v>
      </c>
      <c r="D432" s="1" t="s">
        <v>75</v>
      </c>
      <c r="E432" s="1" t="s">
        <v>52</v>
      </c>
      <c r="F432" s="1" t="s">
        <v>1718</v>
      </c>
      <c r="G432" s="1" t="s">
        <v>126</v>
      </c>
      <c r="H432" s="1" t="s">
        <v>20</v>
      </c>
      <c r="I432" s="1" t="s">
        <v>291</v>
      </c>
      <c r="J432" s="1" t="s">
        <v>21</v>
      </c>
      <c r="K432">
        <v>6500</v>
      </c>
      <c r="L432">
        <v>3065</v>
      </c>
      <c r="M432">
        <v>0</v>
      </c>
    </row>
    <row r="433" spans="1:13" x14ac:dyDescent="0.35">
      <c r="A433" s="1" t="s">
        <v>1719</v>
      </c>
      <c r="B433" s="1" t="s">
        <v>1720</v>
      </c>
      <c r="C433" s="1" t="s">
        <v>1721</v>
      </c>
      <c r="D433" s="1" t="s">
        <v>167</v>
      </c>
      <c r="E433" s="1" t="s">
        <v>52</v>
      </c>
      <c r="F433" s="1" t="s">
        <v>1722</v>
      </c>
      <c r="G433" s="1" t="s">
        <v>41</v>
      </c>
      <c r="H433" s="1" t="s">
        <v>35</v>
      </c>
      <c r="I433" s="1" t="s">
        <v>131</v>
      </c>
      <c r="J433" s="1" t="s">
        <v>21</v>
      </c>
      <c r="K433">
        <v>6500</v>
      </c>
      <c r="L433">
        <v>1918</v>
      </c>
      <c r="M433">
        <v>1</v>
      </c>
    </row>
    <row r="434" spans="1:13" x14ac:dyDescent="0.35">
      <c r="A434" s="1" t="s">
        <v>1723</v>
      </c>
      <c r="B434" s="1" t="s">
        <v>1724</v>
      </c>
      <c r="C434" s="1" t="s">
        <v>1725</v>
      </c>
      <c r="D434" s="1" t="s">
        <v>135</v>
      </c>
      <c r="E434" s="1" t="s">
        <v>94</v>
      </c>
      <c r="F434" s="1" t="s">
        <v>1726</v>
      </c>
      <c r="G434" s="1" t="s">
        <v>89</v>
      </c>
      <c r="H434" s="1" t="s">
        <v>42</v>
      </c>
      <c r="I434" s="1" t="s">
        <v>21</v>
      </c>
      <c r="J434" s="1" t="s">
        <v>71</v>
      </c>
      <c r="K434">
        <v>1500</v>
      </c>
      <c r="L434">
        <v>442</v>
      </c>
      <c r="M434">
        <v>0</v>
      </c>
    </row>
    <row r="435" spans="1:13" x14ac:dyDescent="0.35">
      <c r="A435" s="1" t="s">
        <v>1727</v>
      </c>
      <c r="B435" s="1" t="s">
        <v>1728</v>
      </c>
      <c r="C435" s="1" t="s">
        <v>1729</v>
      </c>
      <c r="D435" s="1" t="s">
        <v>25</v>
      </c>
      <c r="E435" s="1" t="s">
        <v>17</v>
      </c>
      <c r="F435" s="1" t="s">
        <v>1730</v>
      </c>
      <c r="G435" s="1" t="s">
        <v>48</v>
      </c>
      <c r="H435" s="1" t="s">
        <v>77</v>
      </c>
      <c r="I435" s="1" t="s">
        <v>21</v>
      </c>
      <c r="J435" s="1" t="s">
        <v>79</v>
      </c>
      <c r="K435">
        <v>2500</v>
      </c>
      <c r="L435">
        <v>3750</v>
      </c>
      <c r="M435">
        <v>0</v>
      </c>
    </row>
    <row r="436" spans="1:13" x14ac:dyDescent="0.35">
      <c r="A436" s="1" t="s">
        <v>1731</v>
      </c>
      <c r="B436" s="1" t="s">
        <v>1732</v>
      </c>
      <c r="C436" s="1" t="s">
        <v>1733</v>
      </c>
      <c r="D436" s="1" t="s">
        <v>284</v>
      </c>
      <c r="E436" s="1" t="s">
        <v>17</v>
      </c>
      <c r="F436" s="1" t="s">
        <v>1734</v>
      </c>
      <c r="G436" s="1" t="s">
        <v>195</v>
      </c>
      <c r="H436" s="1" t="s">
        <v>54</v>
      </c>
      <c r="I436" s="1" t="s">
        <v>21</v>
      </c>
      <c r="J436" s="1" t="s">
        <v>208</v>
      </c>
      <c r="K436">
        <v>2500</v>
      </c>
      <c r="L436">
        <v>2507</v>
      </c>
      <c r="M436">
        <v>0</v>
      </c>
    </row>
    <row r="437" spans="1:13" x14ac:dyDescent="0.35">
      <c r="A437" s="1" t="s">
        <v>1735</v>
      </c>
      <c r="B437" s="1" t="s">
        <v>1736</v>
      </c>
      <c r="C437" s="1" t="s">
        <v>1737</v>
      </c>
      <c r="D437" s="1" t="s">
        <v>58</v>
      </c>
      <c r="E437" s="1" t="s">
        <v>94</v>
      </c>
      <c r="F437" s="1" t="s">
        <v>1738</v>
      </c>
      <c r="G437" s="1" t="s">
        <v>65</v>
      </c>
      <c r="H437" s="1" t="s">
        <v>54</v>
      </c>
      <c r="I437" s="1" t="s">
        <v>21</v>
      </c>
      <c r="J437" s="1" t="s">
        <v>21</v>
      </c>
      <c r="K437">
        <v>1500</v>
      </c>
      <c r="L437">
        <v>921</v>
      </c>
      <c r="M437">
        <v>0</v>
      </c>
    </row>
    <row r="438" spans="1:13" x14ac:dyDescent="0.35">
      <c r="A438" s="1" t="s">
        <v>1739</v>
      </c>
      <c r="B438" s="1" t="s">
        <v>1157</v>
      </c>
      <c r="C438" s="1" t="s">
        <v>1740</v>
      </c>
      <c r="D438" s="1" t="s">
        <v>110</v>
      </c>
      <c r="E438" s="1" t="s">
        <v>39</v>
      </c>
      <c r="F438" s="1" t="s">
        <v>1741</v>
      </c>
      <c r="G438" s="1" t="s">
        <v>41</v>
      </c>
      <c r="H438" s="1" t="s">
        <v>60</v>
      </c>
      <c r="I438" s="1" t="s">
        <v>21</v>
      </c>
      <c r="J438" s="1" t="s">
        <v>21</v>
      </c>
      <c r="K438">
        <v>7500</v>
      </c>
      <c r="L438">
        <v>1400</v>
      </c>
      <c r="M438">
        <v>0</v>
      </c>
    </row>
    <row r="439" spans="1:13" x14ac:dyDescent="0.35">
      <c r="A439" s="1" t="s">
        <v>1742</v>
      </c>
      <c r="B439" s="1" t="s">
        <v>1743</v>
      </c>
      <c r="C439" s="1" t="s">
        <v>1744</v>
      </c>
      <c r="D439" s="1" t="s">
        <v>75</v>
      </c>
      <c r="E439" s="1" t="s">
        <v>32</v>
      </c>
      <c r="F439" s="1" t="s">
        <v>1745</v>
      </c>
      <c r="G439" s="1" t="s">
        <v>19</v>
      </c>
      <c r="H439" s="1" t="s">
        <v>60</v>
      </c>
      <c r="I439" s="1" t="s">
        <v>21</v>
      </c>
      <c r="J439" s="1" t="s">
        <v>21</v>
      </c>
      <c r="K439">
        <v>0</v>
      </c>
      <c r="L439">
        <v>3349</v>
      </c>
      <c r="M439">
        <v>1</v>
      </c>
    </row>
    <row r="440" spans="1:13" x14ac:dyDescent="0.35">
      <c r="A440" s="1" t="s">
        <v>1746</v>
      </c>
      <c r="B440" s="1" t="s">
        <v>1747</v>
      </c>
      <c r="C440" s="1" t="s">
        <v>1748</v>
      </c>
      <c r="D440" s="1" t="s">
        <v>110</v>
      </c>
      <c r="E440" s="1" t="s">
        <v>94</v>
      </c>
      <c r="F440" s="1" t="s">
        <v>1749</v>
      </c>
      <c r="G440" s="1" t="s">
        <v>65</v>
      </c>
      <c r="H440" s="1" t="s">
        <v>20</v>
      </c>
      <c r="I440" s="1" t="s">
        <v>21</v>
      </c>
      <c r="J440" s="1" t="s">
        <v>21</v>
      </c>
      <c r="K440">
        <v>1500</v>
      </c>
      <c r="L440">
        <v>1268</v>
      </c>
      <c r="M440">
        <v>1</v>
      </c>
    </row>
    <row r="441" spans="1:13" x14ac:dyDescent="0.35">
      <c r="A441" s="1" t="s">
        <v>1750</v>
      </c>
      <c r="B441" s="1" t="s">
        <v>1751</v>
      </c>
      <c r="C441" s="1" t="s">
        <v>1752</v>
      </c>
      <c r="D441" s="1" t="s">
        <v>110</v>
      </c>
      <c r="E441" s="1" t="s">
        <v>39</v>
      </c>
      <c r="F441" s="1" t="s">
        <v>1753</v>
      </c>
      <c r="G441" s="1" t="s">
        <v>126</v>
      </c>
      <c r="H441" s="1" t="s">
        <v>77</v>
      </c>
      <c r="I441" s="1" t="s">
        <v>21</v>
      </c>
      <c r="J441" s="1" t="s">
        <v>21</v>
      </c>
      <c r="K441">
        <v>7500</v>
      </c>
      <c r="L441">
        <v>4635</v>
      </c>
      <c r="M441">
        <v>0</v>
      </c>
    </row>
    <row r="442" spans="1:13" x14ac:dyDescent="0.35">
      <c r="A442" s="1" t="s">
        <v>1754</v>
      </c>
      <c r="B442" s="1" t="s">
        <v>1755</v>
      </c>
      <c r="C442" s="1" t="s">
        <v>1756</v>
      </c>
      <c r="D442" s="1" t="s">
        <v>58</v>
      </c>
      <c r="E442" s="1" t="s">
        <v>52</v>
      </c>
      <c r="F442" s="1" t="s">
        <v>1757</v>
      </c>
      <c r="G442" s="1" t="s">
        <v>41</v>
      </c>
      <c r="H442" s="1" t="s">
        <v>77</v>
      </c>
      <c r="I442" s="1" t="s">
        <v>66</v>
      </c>
      <c r="J442" s="1" t="s">
        <v>21</v>
      </c>
      <c r="K442">
        <v>6500</v>
      </c>
      <c r="L442">
        <v>512</v>
      </c>
      <c r="M442">
        <v>0</v>
      </c>
    </row>
    <row r="443" spans="1:13" x14ac:dyDescent="0.35">
      <c r="A443" s="1" t="s">
        <v>1758</v>
      </c>
      <c r="B443" s="1" t="s">
        <v>1759</v>
      </c>
      <c r="C443" s="1" t="s">
        <v>1760</v>
      </c>
      <c r="D443" s="1" t="s">
        <v>58</v>
      </c>
      <c r="E443" s="1" t="s">
        <v>94</v>
      </c>
      <c r="F443" s="1" t="s">
        <v>1761</v>
      </c>
      <c r="G443" s="1" t="s">
        <v>126</v>
      </c>
      <c r="H443" s="1" t="s">
        <v>35</v>
      </c>
      <c r="I443" s="1" t="s">
        <v>21</v>
      </c>
      <c r="J443" s="1" t="s">
        <v>21</v>
      </c>
      <c r="K443">
        <v>1500</v>
      </c>
      <c r="L443">
        <v>3765</v>
      </c>
      <c r="M443">
        <v>0</v>
      </c>
    </row>
    <row r="444" spans="1:13" x14ac:dyDescent="0.35">
      <c r="A444" s="1" t="s">
        <v>1762</v>
      </c>
      <c r="B444" s="1" t="s">
        <v>1763</v>
      </c>
      <c r="C444" s="1" t="s">
        <v>1764</v>
      </c>
      <c r="D444" s="1" t="s">
        <v>25</v>
      </c>
      <c r="E444" s="1" t="s">
        <v>94</v>
      </c>
      <c r="F444" s="1" t="s">
        <v>1765</v>
      </c>
      <c r="G444" s="1" t="s">
        <v>126</v>
      </c>
      <c r="H444" s="1" t="s">
        <v>106</v>
      </c>
      <c r="I444" s="1" t="s">
        <v>21</v>
      </c>
      <c r="J444" s="1" t="s">
        <v>226</v>
      </c>
      <c r="K444">
        <v>1500</v>
      </c>
      <c r="L444">
        <v>3921</v>
      </c>
      <c r="M444">
        <v>0</v>
      </c>
    </row>
    <row r="445" spans="1:13" x14ac:dyDescent="0.35">
      <c r="A445" s="1" t="s">
        <v>1766</v>
      </c>
      <c r="B445" s="1" t="s">
        <v>1767</v>
      </c>
      <c r="C445" s="1" t="s">
        <v>1768</v>
      </c>
      <c r="D445" s="1" t="s">
        <v>75</v>
      </c>
      <c r="E445" s="1" t="s">
        <v>52</v>
      </c>
      <c r="F445" s="1" t="s">
        <v>1769</v>
      </c>
      <c r="G445" s="1" t="s">
        <v>65</v>
      </c>
      <c r="H445" s="1" t="s">
        <v>54</v>
      </c>
      <c r="I445" s="1" t="s">
        <v>138</v>
      </c>
      <c r="J445" s="1" t="s">
        <v>226</v>
      </c>
      <c r="K445">
        <v>6500</v>
      </c>
      <c r="L445">
        <v>3163</v>
      </c>
      <c r="M445">
        <v>0</v>
      </c>
    </row>
    <row r="446" spans="1:13" x14ac:dyDescent="0.35">
      <c r="A446" s="1" t="s">
        <v>1770</v>
      </c>
      <c r="B446" s="1" t="s">
        <v>1771</v>
      </c>
      <c r="C446" s="1" t="s">
        <v>1772</v>
      </c>
      <c r="D446" s="1" t="s">
        <v>16</v>
      </c>
      <c r="E446" s="1" t="s">
        <v>32</v>
      </c>
      <c r="F446" s="1" t="s">
        <v>1773</v>
      </c>
      <c r="G446" s="1" t="s">
        <v>41</v>
      </c>
      <c r="H446" s="1" t="s">
        <v>77</v>
      </c>
      <c r="I446" s="1" t="s">
        <v>21</v>
      </c>
      <c r="J446" s="1" t="s">
        <v>21</v>
      </c>
      <c r="K446">
        <v>0</v>
      </c>
      <c r="L446">
        <v>2138</v>
      </c>
      <c r="M446">
        <v>0</v>
      </c>
    </row>
    <row r="447" spans="1:13" x14ac:dyDescent="0.35">
      <c r="A447" s="1" t="s">
        <v>1774</v>
      </c>
      <c r="B447" s="1" t="s">
        <v>1775</v>
      </c>
      <c r="C447" s="1" t="s">
        <v>1776</v>
      </c>
      <c r="D447" s="1" t="s">
        <v>25</v>
      </c>
      <c r="E447" s="1" t="s">
        <v>94</v>
      </c>
      <c r="F447" s="1" t="s">
        <v>1777</v>
      </c>
      <c r="G447" s="1" t="s">
        <v>65</v>
      </c>
      <c r="H447" s="1" t="s">
        <v>54</v>
      </c>
      <c r="I447" s="1" t="s">
        <v>21</v>
      </c>
      <c r="J447" s="1" t="s">
        <v>21</v>
      </c>
      <c r="K447">
        <v>1500</v>
      </c>
      <c r="L447">
        <v>804</v>
      </c>
      <c r="M447">
        <v>0</v>
      </c>
    </row>
    <row r="448" spans="1:13" x14ac:dyDescent="0.35">
      <c r="A448" s="1" t="s">
        <v>1778</v>
      </c>
      <c r="B448" s="1" t="s">
        <v>1779</v>
      </c>
      <c r="C448" s="1" t="s">
        <v>1780</v>
      </c>
      <c r="D448" s="1" t="s">
        <v>75</v>
      </c>
      <c r="E448" s="1" t="s">
        <v>32</v>
      </c>
      <c r="F448" s="1" t="s">
        <v>1781</v>
      </c>
      <c r="G448" s="1" t="s">
        <v>126</v>
      </c>
      <c r="H448" s="1" t="s">
        <v>106</v>
      </c>
      <c r="I448" s="1" t="s">
        <v>21</v>
      </c>
      <c r="J448" s="1" t="s">
        <v>21</v>
      </c>
      <c r="K448">
        <v>0</v>
      </c>
      <c r="L448">
        <v>1802</v>
      </c>
      <c r="M448">
        <v>0</v>
      </c>
    </row>
    <row r="449" spans="1:13" x14ac:dyDescent="0.35">
      <c r="A449" s="1" t="s">
        <v>1782</v>
      </c>
      <c r="B449" s="1" t="s">
        <v>1783</v>
      </c>
      <c r="C449" s="1" t="s">
        <v>1784</v>
      </c>
      <c r="D449" s="1" t="s">
        <v>75</v>
      </c>
      <c r="E449" s="1" t="s">
        <v>17</v>
      </c>
      <c r="F449" s="1" t="s">
        <v>1785</v>
      </c>
      <c r="G449" s="1" t="s">
        <v>65</v>
      </c>
      <c r="H449" s="1" t="s">
        <v>54</v>
      </c>
      <c r="I449" s="1" t="s">
        <v>21</v>
      </c>
      <c r="J449" s="1" t="s">
        <v>121</v>
      </c>
      <c r="K449">
        <v>2500</v>
      </c>
      <c r="L449">
        <v>3129</v>
      </c>
      <c r="M449">
        <v>0</v>
      </c>
    </row>
    <row r="450" spans="1:13" x14ac:dyDescent="0.35">
      <c r="A450" s="1" t="s">
        <v>1786</v>
      </c>
      <c r="B450" s="1" t="s">
        <v>1787</v>
      </c>
      <c r="C450" s="1" t="s">
        <v>1788</v>
      </c>
      <c r="D450" s="1" t="s">
        <v>546</v>
      </c>
      <c r="E450" s="1" t="s">
        <v>32</v>
      </c>
      <c r="F450" s="1" t="s">
        <v>1789</v>
      </c>
      <c r="G450" s="1" t="s">
        <v>126</v>
      </c>
      <c r="H450" s="1" t="s">
        <v>96</v>
      </c>
      <c r="I450" s="1" t="s">
        <v>21</v>
      </c>
      <c r="J450" s="1" t="s">
        <v>21</v>
      </c>
      <c r="L450">
        <v>4543</v>
      </c>
      <c r="M450">
        <v>0</v>
      </c>
    </row>
    <row r="451" spans="1:13" x14ac:dyDescent="0.35">
      <c r="A451" s="1" t="s">
        <v>1790</v>
      </c>
      <c r="B451" s="1" t="s">
        <v>1791</v>
      </c>
      <c r="C451" s="1" t="s">
        <v>1792</v>
      </c>
      <c r="D451" s="1" t="s">
        <v>58</v>
      </c>
      <c r="E451" s="1" t="s">
        <v>32</v>
      </c>
      <c r="F451" s="1" t="s">
        <v>1793</v>
      </c>
      <c r="G451" s="1" t="s">
        <v>41</v>
      </c>
      <c r="H451" s="1" t="s">
        <v>42</v>
      </c>
      <c r="I451" s="1" t="s">
        <v>21</v>
      </c>
      <c r="J451" s="1" t="s">
        <v>21</v>
      </c>
      <c r="K451">
        <v>0</v>
      </c>
      <c r="L451">
        <v>4625</v>
      </c>
      <c r="M451">
        <v>0</v>
      </c>
    </row>
    <row r="452" spans="1:13" x14ac:dyDescent="0.35">
      <c r="A452" s="1" t="s">
        <v>1794</v>
      </c>
      <c r="B452" s="1" t="s">
        <v>1795</v>
      </c>
      <c r="C452" s="1" t="s">
        <v>1796</v>
      </c>
      <c r="D452" s="1" t="s">
        <v>58</v>
      </c>
      <c r="E452" s="1" t="s">
        <v>52</v>
      </c>
      <c r="F452" s="1" t="s">
        <v>1797</v>
      </c>
      <c r="G452" s="1" t="s">
        <v>65</v>
      </c>
      <c r="H452" s="1" t="s">
        <v>54</v>
      </c>
      <c r="I452" s="1" t="s">
        <v>21</v>
      </c>
      <c r="J452" s="1" t="s">
        <v>21</v>
      </c>
      <c r="K452">
        <v>6500</v>
      </c>
      <c r="L452">
        <v>426</v>
      </c>
      <c r="M452">
        <v>1</v>
      </c>
    </row>
    <row r="453" spans="1:13" x14ac:dyDescent="0.35">
      <c r="A453" s="1" t="s">
        <v>1798</v>
      </c>
      <c r="B453" s="1" t="s">
        <v>1799</v>
      </c>
      <c r="C453" s="1" t="s">
        <v>1800</v>
      </c>
      <c r="D453" s="1" t="s">
        <v>58</v>
      </c>
      <c r="E453" s="1" t="s">
        <v>94</v>
      </c>
      <c r="F453" s="1" t="s">
        <v>1801</v>
      </c>
      <c r="G453" s="1" t="s">
        <v>137</v>
      </c>
      <c r="H453" s="1" t="s">
        <v>96</v>
      </c>
      <c r="I453" s="1" t="s">
        <v>21</v>
      </c>
      <c r="J453" s="1" t="s">
        <v>21</v>
      </c>
      <c r="K453">
        <v>1500</v>
      </c>
      <c r="L453">
        <v>2352</v>
      </c>
      <c r="M453">
        <v>1</v>
      </c>
    </row>
    <row r="454" spans="1:13" x14ac:dyDescent="0.35">
      <c r="A454" s="1" t="s">
        <v>1802</v>
      </c>
      <c r="B454" s="1" t="s">
        <v>1803</v>
      </c>
      <c r="C454" s="1" t="s">
        <v>1804</v>
      </c>
      <c r="D454" s="1" t="s">
        <v>58</v>
      </c>
      <c r="E454" s="1" t="s">
        <v>94</v>
      </c>
      <c r="F454" s="1" t="s">
        <v>1805</v>
      </c>
      <c r="G454" s="1" t="s">
        <v>89</v>
      </c>
      <c r="H454" s="1" t="s">
        <v>20</v>
      </c>
      <c r="I454" s="1" t="s">
        <v>21</v>
      </c>
      <c r="J454" s="1" t="s">
        <v>21</v>
      </c>
      <c r="K454">
        <v>1500</v>
      </c>
      <c r="L454">
        <v>3695</v>
      </c>
      <c r="M454">
        <v>0</v>
      </c>
    </row>
    <row r="455" spans="1:13" x14ac:dyDescent="0.35">
      <c r="A455" s="1" t="s">
        <v>1806</v>
      </c>
      <c r="B455" s="1" t="s">
        <v>1807</v>
      </c>
      <c r="C455" s="1" t="s">
        <v>1808</v>
      </c>
      <c r="D455" s="1" t="s">
        <v>16</v>
      </c>
      <c r="E455" s="1" t="s">
        <v>39</v>
      </c>
      <c r="F455" s="1" t="s">
        <v>1809</v>
      </c>
      <c r="G455" s="1" t="s">
        <v>105</v>
      </c>
      <c r="H455" s="1" t="s">
        <v>77</v>
      </c>
      <c r="I455" s="1" t="s">
        <v>21</v>
      </c>
      <c r="J455" s="1" t="s">
        <v>21</v>
      </c>
      <c r="K455">
        <v>7500</v>
      </c>
      <c r="L455">
        <v>2616</v>
      </c>
      <c r="M455">
        <v>0</v>
      </c>
    </row>
    <row r="456" spans="1:13" x14ac:dyDescent="0.35">
      <c r="A456" s="1" t="s">
        <v>1810</v>
      </c>
      <c r="B456" s="1" t="s">
        <v>1811</v>
      </c>
      <c r="C456" s="1" t="s">
        <v>1812</v>
      </c>
      <c r="D456" s="1" t="s">
        <v>25</v>
      </c>
      <c r="E456" s="1" t="s">
        <v>39</v>
      </c>
      <c r="F456" s="1" t="s">
        <v>1813</v>
      </c>
      <c r="G456" s="1" t="s">
        <v>137</v>
      </c>
      <c r="H456" s="1" t="s">
        <v>54</v>
      </c>
      <c r="I456" s="1" t="s">
        <v>21</v>
      </c>
      <c r="J456" s="1" t="s">
        <v>121</v>
      </c>
      <c r="K456">
        <v>7500</v>
      </c>
      <c r="L456">
        <v>4243</v>
      </c>
      <c r="M456">
        <v>0</v>
      </c>
    </row>
    <row r="457" spans="1:13" x14ac:dyDescent="0.35">
      <c r="A457" s="1" t="s">
        <v>1814</v>
      </c>
      <c r="B457" s="1" t="s">
        <v>1815</v>
      </c>
      <c r="C457" s="1" t="s">
        <v>1816</v>
      </c>
      <c r="D457" s="1" t="s">
        <v>16</v>
      </c>
      <c r="E457" s="1" t="s">
        <v>39</v>
      </c>
      <c r="F457" s="1" t="s">
        <v>1817</v>
      </c>
      <c r="G457" s="1" t="s">
        <v>126</v>
      </c>
      <c r="H457" s="1" t="s">
        <v>60</v>
      </c>
      <c r="I457" s="1" t="s">
        <v>21</v>
      </c>
      <c r="J457" s="1" t="s">
        <v>21</v>
      </c>
      <c r="K457">
        <v>7500</v>
      </c>
      <c r="L457">
        <v>1435</v>
      </c>
      <c r="M457">
        <v>0</v>
      </c>
    </row>
    <row r="458" spans="1:13" x14ac:dyDescent="0.35">
      <c r="A458" s="1" t="s">
        <v>1818</v>
      </c>
      <c r="B458" s="1" t="s">
        <v>573</v>
      </c>
      <c r="C458" s="1" t="s">
        <v>574</v>
      </c>
      <c r="D458" s="1" t="s">
        <v>75</v>
      </c>
      <c r="E458" s="1" t="s">
        <v>17</v>
      </c>
      <c r="F458" s="1" t="s">
        <v>1819</v>
      </c>
      <c r="G458" s="1" t="s">
        <v>126</v>
      </c>
      <c r="H458" s="1" t="s">
        <v>54</v>
      </c>
      <c r="I458" s="1" t="s">
        <v>21</v>
      </c>
      <c r="J458" s="1" t="s">
        <v>71</v>
      </c>
      <c r="K458">
        <v>2500</v>
      </c>
      <c r="L458">
        <v>527</v>
      </c>
      <c r="M458">
        <v>0</v>
      </c>
    </row>
    <row r="459" spans="1:13" x14ac:dyDescent="0.35">
      <c r="A459" s="1" t="s">
        <v>1820</v>
      </c>
      <c r="B459" s="1" t="s">
        <v>1821</v>
      </c>
      <c r="C459" s="1" t="s">
        <v>1822</v>
      </c>
      <c r="D459" s="1" t="s">
        <v>58</v>
      </c>
      <c r="E459" s="1" t="s">
        <v>32</v>
      </c>
      <c r="F459" s="1" t="s">
        <v>1823</v>
      </c>
      <c r="G459" s="1" t="s">
        <v>137</v>
      </c>
      <c r="H459" s="1" t="s">
        <v>60</v>
      </c>
      <c r="I459" s="1" t="s">
        <v>21</v>
      </c>
      <c r="J459" s="1" t="s">
        <v>21</v>
      </c>
      <c r="K459">
        <v>0</v>
      </c>
      <c r="L459">
        <v>4913</v>
      </c>
      <c r="M459">
        <v>0</v>
      </c>
    </row>
    <row r="460" spans="1:13" x14ac:dyDescent="0.35">
      <c r="A460" s="1" t="s">
        <v>1824</v>
      </c>
      <c r="B460" s="1" t="s">
        <v>1361</v>
      </c>
      <c r="C460" s="1" t="s">
        <v>1825</v>
      </c>
      <c r="D460" s="1" t="s">
        <v>58</v>
      </c>
      <c r="E460" s="1" t="s">
        <v>52</v>
      </c>
      <c r="F460" s="1" t="s">
        <v>1826</v>
      </c>
      <c r="G460" s="1" t="s">
        <v>381</v>
      </c>
      <c r="H460" s="1" t="s">
        <v>60</v>
      </c>
      <c r="I460" s="1" t="s">
        <v>131</v>
      </c>
      <c r="J460" s="1" t="s">
        <v>21</v>
      </c>
      <c r="K460">
        <v>6500</v>
      </c>
      <c r="L460">
        <v>4732</v>
      </c>
      <c r="M460">
        <v>0</v>
      </c>
    </row>
    <row r="461" spans="1:13" x14ac:dyDescent="0.35">
      <c r="A461" s="1" t="s">
        <v>1827</v>
      </c>
      <c r="B461" s="1" t="s">
        <v>1828</v>
      </c>
      <c r="C461" s="1" t="s">
        <v>1829</v>
      </c>
      <c r="D461" s="1" t="s">
        <v>75</v>
      </c>
      <c r="E461" s="1" t="s">
        <v>52</v>
      </c>
      <c r="F461" s="1" t="s">
        <v>1830</v>
      </c>
      <c r="G461" s="1" t="s">
        <v>27</v>
      </c>
      <c r="H461" s="1" t="s">
        <v>20</v>
      </c>
      <c r="I461" s="1" t="s">
        <v>138</v>
      </c>
      <c r="J461" s="1" t="s">
        <v>121</v>
      </c>
      <c r="K461">
        <v>6500</v>
      </c>
      <c r="L461">
        <v>4805</v>
      </c>
      <c r="M461">
        <v>0</v>
      </c>
    </row>
    <row r="462" spans="1:13" x14ac:dyDescent="0.35">
      <c r="A462" s="1" t="s">
        <v>1831</v>
      </c>
      <c r="B462" s="1" t="s">
        <v>1832</v>
      </c>
      <c r="C462" s="1" t="s">
        <v>1833</v>
      </c>
      <c r="D462" s="1" t="s">
        <v>16</v>
      </c>
      <c r="E462" s="1" t="s">
        <v>52</v>
      </c>
      <c r="F462" s="1" t="s">
        <v>1834</v>
      </c>
      <c r="G462" s="1" t="s">
        <v>126</v>
      </c>
      <c r="H462" s="1" t="s">
        <v>54</v>
      </c>
      <c r="I462" s="1" t="s">
        <v>21</v>
      </c>
      <c r="J462" s="1" t="s">
        <v>21</v>
      </c>
      <c r="K462">
        <v>6500</v>
      </c>
      <c r="L462">
        <v>2711</v>
      </c>
      <c r="M462">
        <v>1</v>
      </c>
    </row>
    <row r="463" spans="1:13" x14ac:dyDescent="0.35">
      <c r="A463" s="1" t="s">
        <v>1835</v>
      </c>
      <c r="B463" s="1" t="s">
        <v>1836</v>
      </c>
      <c r="C463" s="1" t="s">
        <v>1837</v>
      </c>
      <c r="D463" s="1" t="s">
        <v>25</v>
      </c>
      <c r="E463" s="1" t="s">
        <v>17</v>
      </c>
      <c r="F463" s="1" t="s">
        <v>1838</v>
      </c>
      <c r="G463" s="1" t="s">
        <v>105</v>
      </c>
      <c r="H463" s="1" t="s">
        <v>96</v>
      </c>
      <c r="I463" s="1" t="s">
        <v>21</v>
      </c>
      <c r="J463" s="1" t="s">
        <v>286</v>
      </c>
      <c r="L463">
        <v>3602</v>
      </c>
      <c r="M463">
        <v>0</v>
      </c>
    </row>
    <row r="464" spans="1:13" x14ac:dyDescent="0.35">
      <c r="A464" s="1" t="s">
        <v>1839</v>
      </c>
      <c r="B464" s="1" t="s">
        <v>257</v>
      </c>
      <c r="C464" s="1" t="s">
        <v>1840</v>
      </c>
      <c r="D464" s="1" t="s">
        <v>58</v>
      </c>
      <c r="E464" s="1" t="s">
        <v>52</v>
      </c>
      <c r="F464" s="1" t="s">
        <v>1841</v>
      </c>
      <c r="G464" s="1" t="s">
        <v>65</v>
      </c>
      <c r="H464" s="1" t="s">
        <v>42</v>
      </c>
      <c r="I464" s="1" t="s">
        <v>138</v>
      </c>
      <c r="J464" s="1" t="s">
        <v>21</v>
      </c>
      <c r="K464">
        <v>6500</v>
      </c>
      <c r="L464">
        <v>4813</v>
      </c>
      <c r="M464">
        <v>0</v>
      </c>
    </row>
    <row r="465" spans="1:13" x14ac:dyDescent="0.35">
      <c r="A465" s="1" t="s">
        <v>1842</v>
      </c>
      <c r="B465" s="1" t="s">
        <v>1843</v>
      </c>
      <c r="C465" s="1" t="s">
        <v>1844</v>
      </c>
      <c r="D465" s="1" t="s">
        <v>46</v>
      </c>
      <c r="E465" s="1" t="s">
        <v>52</v>
      </c>
      <c r="F465" s="1" t="s">
        <v>1845</v>
      </c>
      <c r="G465" s="1" t="s">
        <v>485</v>
      </c>
      <c r="H465" s="1" t="s">
        <v>106</v>
      </c>
      <c r="I465" s="1" t="s">
        <v>21</v>
      </c>
      <c r="J465" s="1" t="s">
        <v>21</v>
      </c>
      <c r="K465">
        <v>6500</v>
      </c>
      <c r="L465">
        <v>1620</v>
      </c>
      <c r="M465">
        <v>0</v>
      </c>
    </row>
    <row r="466" spans="1:13" x14ac:dyDescent="0.35">
      <c r="A466" s="1" t="s">
        <v>21</v>
      </c>
      <c r="B466" s="1" t="s">
        <v>21</v>
      </c>
      <c r="C466" s="1" t="s">
        <v>1846</v>
      </c>
      <c r="D466" s="1" t="s">
        <v>16</v>
      </c>
      <c r="E466" s="1" t="s">
        <v>52</v>
      </c>
      <c r="F466" s="1" t="s">
        <v>21</v>
      </c>
      <c r="G466" s="1" t="s">
        <v>21</v>
      </c>
      <c r="H466" s="1" t="s">
        <v>42</v>
      </c>
      <c r="I466" s="1" t="s">
        <v>21</v>
      </c>
      <c r="J466" s="1" t="s">
        <v>21</v>
      </c>
      <c r="M466">
        <v>0</v>
      </c>
    </row>
    <row r="467" spans="1:13" x14ac:dyDescent="0.35">
      <c r="A467" s="1" t="s">
        <v>1847</v>
      </c>
      <c r="B467" s="1" t="s">
        <v>1848</v>
      </c>
      <c r="C467" s="1" t="s">
        <v>1849</v>
      </c>
      <c r="D467" s="1" t="s">
        <v>58</v>
      </c>
      <c r="E467" s="1" t="s">
        <v>17</v>
      </c>
      <c r="F467" s="1" t="s">
        <v>1850</v>
      </c>
      <c r="G467" s="1" t="s">
        <v>41</v>
      </c>
      <c r="H467" s="1" t="s">
        <v>96</v>
      </c>
      <c r="I467" s="1" t="s">
        <v>21</v>
      </c>
      <c r="J467" s="1" t="s">
        <v>21</v>
      </c>
      <c r="K467">
        <v>2500</v>
      </c>
      <c r="L467">
        <v>3552</v>
      </c>
      <c r="M467">
        <v>0</v>
      </c>
    </row>
    <row r="468" spans="1:13" x14ac:dyDescent="0.35">
      <c r="A468" s="1" t="s">
        <v>1851</v>
      </c>
      <c r="B468" s="1" t="s">
        <v>1852</v>
      </c>
      <c r="C468" s="1" t="s">
        <v>1853</v>
      </c>
      <c r="D468" s="1" t="s">
        <v>75</v>
      </c>
      <c r="E468" s="1" t="s">
        <v>52</v>
      </c>
      <c r="F468" s="1" t="s">
        <v>1854</v>
      </c>
      <c r="G468" s="1" t="s">
        <v>27</v>
      </c>
      <c r="H468" s="1" t="s">
        <v>35</v>
      </c>
      <c r="I468" s="1" t="s">
        <v>138</v>
      </c>
      <c r="J468" s="1" t="s">
        <v>121</v>
      </c>
      <c r="K468">
        <v>6500</v>
      </c>
      <c r="L468">
        <v>972</v>
      </c>
      <c r="M468">
        <v>1</v>
      </c>
    </row>
    <row r="469" spans="1:13" x14ac:dyDescent="0.35">
      <c r="A469" s="1" t="s">
        <v>1855</v>
      </c>
      <c r="B469" s="1" t="s">
        <v>1856</v>
      </c>
      <c r="C469" s="1" t="s">
        <v>1857</v>
      </c>
      <c r="D469" s="1" t="s">
        <v>16</v>
      </c>
      <c r="E469" s="1" t="s">
        <v>32</v>
      </c>
      <c r="F469" s="1" t="s">
        <v>1858</v>
      </c>
      <c r="G469" s="1" t="s">
        <v>65</v>
      </c>
      <c r="H469" s="1" t="s">
        <v>106</v>
      </c>
      <c r="I469" s="1" t="s">
        <v>21</v>
      </c>
      <c r="J469" s="1" t="s">
        <v>21</v>
      </c>
      <c r="K469">
        <v>0</v>
      </c>
      <c r="L469">
        <v>2648</v>
      </c>
      <c r="M469">
        <v>1</v>
      </c>
    </row>
    <row r="470" spans="1:13" x14ac:dyDescent="0.35">
      <c r="A470" s="1" t="s">
        <v>1859</v>
      </c>
      <c r="B470" s="1" t="s">
        <v>1860</v>
      </c>
      <c r="C470" s="1" t="s">
        <v>1861</v>
      </c>
      <c r="D470" s="1" t="s">
        <v>93</v>
      </c>
      <c r="E470" s="1" t="s">
        <v>39</v>
      </c>
      <c r="F470" s="1" t="s">
        <v>1862</v>
      </c>
      <c r="G470" s="1" t="s">
        <v>48</v>
      </c>
      <c r="H470" s="1" t="s">
        <v>96</v>
      </c>
      <c r="I470" s="1" t="s">
        <v>21</v>
      </c>
      <c r="J470" s="1" t="s">
        <v>226</v>
      </c>
      <c r="K470">
        <v>7500</v>
      </c>
      <c r="L470">
        <v>2048</v>
      </c>
      <c r="M470">
        <v>0</v>
      </c>
    </row>
    <row r="471" spans="1:13" x14ac:dyDescent="0.35">
      <c r="A471" s="1" t="s">
        <v>1863</v>
      </c>
      <c r="B471" s="1" t="s">
        <v>1864</v>
      </c>
      <c r="C471" s="1" t="s">
        <v>1865</v>
      </c>
      <c r="D471" s="1" t="s">
        <v>75</v>
      </c>
      <c r="E471" s="1" t="s">
        <v>94</v>
      </c>
      <c r="F471" s="1" t="s">
        <v>1866</v>
      </c>
      <c r="G471" s="1" t="s">
        <v>19</v>
      </c>
      <c r="H471" s="1" t="s">
        <v>35</v>
      </c>
      <c r="I471" s="1" t="s">
        <v>21</v>
      </c>
      <c r="J471" s="1" t="s">
        <v>71</v>
      </c>
      <c r="K471">
        <v>1500</v>
      </c>
      <c r="L471">
        <v>4388</v>
      </c>
      <c r="M471">
        <v>0</v>
      </c>
    </row>
    <row r="472" spans="1:13" x14ac:dyDescent="0.35">
      <c r="A472" s="1" t="s">
        <v>1867</v>
      </c>
      <c r="B472" s="1" t="s">
        <v>1868</v>
      </c>
      <c r="C472" s="1" t="s">
        <v>1869</v>
      </c>
      <c r="D472" s="1" t="s">
        <v>25</v>
      </c>
      <c r="E472" s="1" t="s">
        <v>94</v>
      </c>
      <c r="F472" s="1" t="s">
        <v>1870</v>
      </c>
      <c r="G472" s="1" t="s">
        <v>264</v>
      </c>
      <c r="H472" s="1" t="s">
        <v>54</v>
      </c>
      <c r="I472" s="1" t="s">
        <v>21</v>
      </c>
      <c r="J472" s="1" t="s">
        <v>79</v>
      </c>
      <c r="K472">
        <v>1500</v>
      </c>
      <c r="L472">
        <v>3093</v>
      </c>
      <c r="M472">
        <v>0</v>
      </c>
    </row>
    <row r="473" spans="1:13" x14ac:dyDescent="0.35">
      <c r="A473" s="1" t="s">
        <v>1871</v>
      </c>
      <c r="B473" s="1" t="s">
        <v>1872</v>
      </c>
      <c r="C473" s="1" t="s">
        <v>1873</v>
      </c>
      <c r="D473" s="1" t="s">
        <v>16</v>
      </c>
      <c r="E473" s="1" t="s">
        <v>39</v>
      </c>
      <c r="F473" s="1" t="s">
        <v>1874</v>
      </c>
      <c r="G473" s="1" t="s">
        <v>48</v>
      </c>
      <c r="H473" s="1" t="s">
        <v>42</v>
      </c>
      <c r="I473" s="1" t="s">
        <v>21</v>
      </c>
      <c r="J473" s="1" t="s">
        <v>21</v>
      </c>
      <c r="K473">
        <v>7500</v>
      </c>
      <c r="L473">
        <v>1920</v>
      </c>
      <c r="M473">
        <v>1</v>
      </c>
    </row>
    <row r="474" spans="1:13" x14ac:dyDescent="0.35">
      <c r="A474" s="1" t="s">
        <v>1875</v>
      </c>
      <c r="B474" s="1" t="s">
        <v>1876</v>
      </c>
      <c r="C474" s="1" t="s">
        <v>1877</v>
      </c>
      <c r="D474" s="1" t="s">
        <v>16</v>
      </c>
      <c r="E474" s="1" t="s">
        <v>94</v>
      </c>
      <c r="F474" s="1" t="s">
        <v>1878</v>
      </c>
      <c r="G474" s="1" t="s">
        <v>65</v>
      </c>
      <c r="H474" s="1" t="s">
        <v>106</v>
      </c>
      <c r="I474" s="1" t="s">
        <v>21</v>
      </c>
      <c r="J474" s="1" t="s">
        <v>21</v>
      </c>
      <c r="K474">
        <v>1500</v>
      </c>
      <c r="L474">
        <v>867</v>
      </c>
      <c r="M474">
        <v>0</v>
      </c>
    </row>
    <row r="475" spans="1:13" x14ac:dyDescent="0.35">
      <c r="A475" s="1" t="s">
        <v>1879</v>
      </c>
      <c r="B475" s="1" t="s">
        <v>1880</v>
      </c>
      <c r="C475" s="1" t="s">
        <v>1881</v>
      </c>
      <c r="D475" s="1" t="s">
        <v>16</v>
      </c>
      <c r="E475" s="1" t="s">
        <v>32</v>
      </c>
      <c r="F475" s="1" t="s">
        <v>1882</v>
      </c>
      <c r="G475" s="1" t="s">
        <v>65</v>
      </c>
      <c r="H475" s="1" t="s">
        <v>96</v>
      </c>
      <c r="I475" s="1" t="s">
        <v>21</v>
      </c>
      <c r="J475" s="1" t="s">
        <v>21</v>
      </c>
      <c r="K475">
        <v>0</v>
      </c>
      <c r="L475">
        <v>2660</v>
      </c>
      <c r="M475">
        <v>0</v>
      </c>
    </row>
    <row r="476" spans="1:13" x14ac:dyDescent="0.35">
      <c r="A476" s="1" t="s">
        <v>1883</v>
      </c>
      <c r="B476" s="1" t="s">
        <v>1884</v>
      </c>
      <c r="C476" s="1" t="s">
        <v>1885</v>
      </c>
      <c r="D476" s="1" t="s">
        <v>16</v>
      </c>
      <c r="E476" s="1" t="s">
        <v>17</v>
      </c>
      <c r="F476" s="1" t="s">
        <v>1886</v>
      </c>
      <c r="G476" s="1" t="s">
        <v>41</v>
      </c>
      <c r="H476" s="1" t="s">
        <v>96</v>
      </c>
      <c r="I476" s="1" t="s">
        <v>21</v>
      </c>
      <c r="J476" s="1" t="s">
        <v>21</v>
      </c>
      <c r="K476">
        <v>2500</v>
      </c>
      <c r="L476">
        <v>202</v>
      </c>
      <c r="M476">
        <v>0</v>
      </c>
    </row>
    <row r="477" spans="1:13" x14ac:dyDescent="0.35">
      <c r="A477" s="1" t="s">
        <v>1887</v>
      </c>
      <c r="B477" s="1" t="s">
        <v>1888</v>
      </c>
      <c r="C477" s="1" t="s">
        <v>1889</v>
      </c>
      <c r="D477" s="1" t="s">
        <v>75</v>
      </c>
      <c r="E477" s="1" t="s">
        <v>94</v>
      </c>
      <c r="F477" s="1" t="s">
        <v>1890</v>
      </c>
      <c r="G477" s="1" t="s">
        <v>264</v>
      </c>
      <c r="H477" s="1" t="s">
        <v>35</v>
      </c>
      <c r="I477" s="1" t="s">
        <v>21</v>
      </c>
      <c r="J477" s="1" t="s">
        <v>121</v>
      </c>
      <c r="K477">
        <v>1500</v>
      </c>
      <c r="L477">
        <v>2900</v>
      </c>
      <c r="M477">
        <v>0</v>
      </c>
    </row>
    <row r="478" spans="1:13" x14ac:dyDescent="0.35">
      <c r="A478" s="1" t="s">
        <v>1891</v>
      </c>
      <c r="B478" s="1" t="s">
        <v>1892</v>
      </c>
      <c r="C478" s="1" t="s">
        <v>1893</v>
      </c>
      <c r="D478" s="1" t="s">
        <v>16</v>
      </c>
      <c r="E478" s="1" t="s">
        <v>52</v>
      </c>
      <c r="F478" s="1" t="s">
        <v>1894</v>
      </c>
      <c r="G478" s="1" t="s">
        <v>126</v>
      </c>
      <c r="H478" s="1" t="s">
        <v>35</v>
      </c>
      <c r="I478" s="1" t="s">
        <v>21</v>
      </c>
      <c r="J478" s="1" t="s">
        <v>21</v>
      </c>
      <c r="K478">
        <v>6500</v>
      </c>
      <c r="L478">
        <v>3212</v>
      </c>
      <c r="M478">
        <v>0</v>
      </c>
    </row>
    <row r="479" spans="1:13" x14ac:dyDescent="0.35">
      <c r="A479" s="1" t="s">
        <v>1895</v>
      </c>
      <c r="B479" s="1" t="s">
        <v>1896</v>
      </c>
      <c r="C479" s="1" t="s">
        <v>1897</v>
      </c>
      <c r="D479" s="1" t="s">
        <v>135</v>
      </c>
      <c r="E479" s="1" t="s">
        <v>94</v>
      </c>
      <c r="F479" s="1" t="s">
        <v>1898</v>
      </c>
      <c r="G479" s="1" t="s">
        <v>126</v>
      </c>
      <c r="H479" s="1" t="s">
        <v>77</v>
      </c>
      <c r="I479" s="1" t="s">
        <v>21</v>
      </c>
      <c r="J479" s="1" t="s">
        <v>79</v>
      </c>
      <c r="K479">
        <v>1500</v>
      </c>
      <c r="L479">
        <v>806</v>
      </c>
      <c r="M479">
        <v>0</v>
      </c>
    </row>
    <row r="480" spans="1:13" x14ac:dyDescent="0.35">
      <c r="A480" s="1" t="s">
        <v>1899</v>
      </c>
      <c r="B480" s="1" t="s">
        <v>1900</v>
      </c>
      <c r="C480" s="1" t="s">
        <v>1901</v>
      </c>
      <c r="D480" s="1" t="s">
        <v>167</v>
      </c>
      <c r="E480" s="1" t="s">
        <v>32</v>
      </c>
      <c r="F480" s="1" t="s">
        <v>1902</v>
      </c>
      <c r="G480" s="1" t="s">
        <v>41</v>
      </c>
      <c r="H480" s="1" t="s">
        <v>77</v>
      </c>
      <c r="I480" s="1" t="s">
        <v>21</v>
      </c>
      <c r="J480" s="1" t="s">
        <v>21</v>
      </c>
      <c r="K480">
        <v>0</v>
      </c>
      <c r="L480">
        <v>4353</v>
      </c>
      <c r="M480">
        <v>1</v>
      </c>
    </row>
    <row r="481" spans="1:13" x14ac:dyDescent="0.35">
      <c r="A481" s="1" t="s">
        <v>1903</v>
      </c>
      <c r="B481" s="1" t="s">
        <v>1904</v>
      </c>
      <c r="C481" s="1" t="s">
        <v>1905</v>
      </c>
      <c r="D481" s="1" t="s">
        <v>75</v>
      </c>
      <c r="E481" s="1" t="s">
        <v>52</v>
      </c>
      <c r="F481" s="1" t="s">
        <v>1906</v>
      </c>
      <c r="G481" s="1" t="s">
        <v>89</v>
      </c>
      <c r="H481" s="1" t="s">
        <v>77</v>
      </c>
      <c r="I481" s="1" t="s">
        <v>112</v>
      </c>
      <c r="J481" s="1" t="s">
        <v>71</v>
      </c>
      <c r="K481">
        <v>6500</v>
      </c>
      <c r="L481">
        <v>4096</v>
      </c>
      <c r="M481">
        <v>0</v>
      </c>
    </row>
    <row r="482" spans="1:13" x14ac:dyDescent="0.35">
      <c r="A482" s="1" t="s">
        <v>1907</v>
      </c>
      <c r="B482" s="1" t="s">
        <v>1908</v>
      </c>
      <c r="C482" s="1" t="s">
        <v>1909</v>
      </c>
      <c r="D482" s="1" t="s">
        <v>75</v>
      </c>
      <c r="E482" s="1" t="s">
        <v>17</v>
      </c>
      <c r="F482" s="1" t="s">
        <v>1910</v>
      </c>
      <c r="G482" s="1" t="s">
        <v>137</v>
      </c>
      <c r="H482" s="1" t="s">
        <v>35</v>
      </c>
      <c r="I482" s="1" t="s">
        <v>21</v>
      </c>
      <c r="J482" s="1" t="s">
        <v>71</v>
      </c>
      <c r="K482">
        <v>2500</v>
      </c>
      <c r="L482">
        <v>2756</v>
      </c>
      <c r="M482">
        <v>1</v>
      </c>
    </row>
    <row r="483" spans="1:13" x14ac:dyDescent="0.35">
      <c r="A483" s="1" t="s">
        <v>1911</v>
      </c>
      <c r="B483" s="1" t="s">
        <v>1912</v>
      </c>
      <c r="C483" s="1" t="s">
        <v>1913</v>
      </c>
      <c r="D483" s="1" t="s">
        <v>16</v>
      </c>
      <c r="E483" s="1" t="s">
        <v>39</v>
      </c>
      <c r="F483" s="1" t="s">
        <v>1914</v>
      </c>
      <c r="G483" s="1" t="s">
        <v>89</v>
      </c>
      <c r="H483" s="1" t="s">
        <v>106</v>
      </c>
      <c r="I483" s="1" t="s">
        <v>21</v>
      </c>
      <c r="J483" s="1" t="s">
        <v>21</v>
      </c>
      <c r="K483">
        <v>7500</v>
      </c>
      <c r="L483">
        <v>3138</v>
      </c>
      <c r="M483">
        <v>0</v>
      </c>
    </row>
    <row r="484" spans="1:13" x14ac:dyDescent="0.35">
      <c r="A484" s="1" t="s">
        <v>1915</v>
      </c>
      <c r="B484" s="1" t="s">
        <v>1916</v>
      </c>
      <c r="C484" s="1" t="s">
        <v>1917</v>
      </c>
      <c r="D484" s="1" t="s">
        <v>75</v>
      </c>
      <c r="E484" s="1" t="s">
        <v>94</v>
      </c>
      <c r="F484" s="1" t="s">
        <v>1918</v>
      </c>
      <c r="G484" s="1" t="s">
        <v>264</v>
      </c>
      <c r="H484" s="1" t="s">
        <v>106</v>
      </c>
      <c r="I484" s="1" t="s">
        <v>21</v>
      </c>
      <c r="J484" s="1" t="s">
        <v>208</v>
      </c>
      <c r="K484">
        <v>1500</v>
      </c>
      <c r="L484">
        <v>3097</v>
      </c>
      <c r="M484">
        <v>0</v>
      </c>
    </row>
    <row r="485" spans="1:13" x14ac:dyDescent="0.35">
      <c r="A485" s="1" t="s">
        <v>1919</v>
      </c>
      <c r="B485" s="1" t="s">
        <v>1920</v>
      </c>
      <c r="C485" s="1" t="s">
        <v>1921</v>
      </c>
      <c r="D485" s="1" t="s">
        <v>75</v>
      </c>
      <c r="E485" s="1" t="s">
        <v>39</v>
      </c>
      <c r="F485" s="1" t="s">
        <v>1922</v>
      </c>
      <c r="G485" s="1" t="s">
        <v>41</v>
      </c>
      <c r="H485" s="1" t="s">
        <v>77</v>
      </c>
      <c r="I485" s="1" t="s">
        <v>21</v>
      </c>
      <c r="J485" s="1" t="s">
        <v>79</v>
      </c>
      <c r="K485">
        <v>7500</v>
      </c>
      <c r="L485">
        <v>878</v>
      </c>
      <c r="M485">
        <v>0</v>
      </c>
    </row>
    <row r="486" spans="1:13" x14ac:dyDescent="0.35">
      <c r="A486" s="1" t="s">
        <v>1923</v>
      </c>
      <c r="B486" s="1" t="s">
        <v>1924</v>
      </c>
      <c r="C486" s="1" t="s">
        <v>1925</v>
      </c>
      <c r="D486" s="1" t="s">
        <v>75</v>
      </c>
      <c r="E486" s="1" t="s">
        <v>52</v>
      </c>
      <c r="F486" s="1" t="s">
        <v>1926</v>
      </c>
      <c r="G486" s="1" t="s">
        <v>65</v>
      </c>
      <c r="H486" s="1" t="s">
        <v>96</v>
      </c>
      <c r="I486" s="1" t="s">
        <v>138</v>
      </c>
      <c r="J486" s="1" t="s">
        <v>21</v>
      </c>
      <c r="K486">
        <v>6500</v>
      </c>
      <c r="L486">
        <v>3924</v>
      </c>
      <c r="M486">
        <v>0</v>
      </c>
    </row>
    <row r="487" spans="1:13" x14ac:dyDescent="0.35">
      <c r="A487" s="1" t="s">
        <v>1927</v>
      </c>
      <c r="B487" s="1" t="s">
        <v>1928</v>
      </c>
      <c r="C487" s="1" t="s">
        <v>1929</v>
      </c>
      <c r="D487" s="1" t="s">
        <v>25</v>
      </c>
      <c r="E487" s="1" t="s">
        <v>94</v>
      </c>
      <c r="F487" s="1" t="s">
        <v>1930</v>
      </c>
      <c r="G487" s="1" t="s">
        <v>27</v>
      </c>
      <c r="H487" s="1" t="s">
        <v>60</v>
      </c>
      <c r="I487" s="1" t="s">
        <v>21</v>
      </c>
      <c r="J487" s="1" t="s">
        <v>21</v>
      </c>
      <c r="K487">
        <v>1500</v>
      </c>
      <c r="L487">
        <v>2301</v>
      </c>
      <c r="M487">
        <v>0</v>
      </c>
    </row>
    <row r="488" spans="1:13" x14ac:dyDescent="0.35">
      <c r="A488" s="1" t="s">
        <v>1931</v>
      </c>
      <c r="B488" s="1" t="s">
        <v>1932</v>
      </c>
      <c r="C488" s="1" t="s">
        <v>1933</v>
      </c>
      <c r="D488" s="1" t="s">
        <v>75</v>
      </c>
      <c r="E488" s="1" t="s">
        <v>17</v>
      </c>
      <c r="F488" s="1" t="s">
        <v>1934</v>
      </c>
      <c r="G488" s="1" t="s">
        <v>105</v>
      </c>
      <c r="H488" s="1" t="s">
        <v>42</v>
      </c>
      <c r="I488" s="1" t="s">
        <v>21</v>
      </c>
      <c r="J488" s="1" t="s">
        <v>71</v>
      </c>
      <c r="K488">
        <v>2500</v>
      </c>
      <c r="L488">
        <v>3276</v>
      </c>
      <c r="M488">
        <v>0</v>
      </c>
    </row>
    <row r="489" spans="1:13" x14ac:dyDescent="0.35">
      <c r="A489" s="1" t="s">
        <v>1935</v>
      </c>
      <c r="B489" s="1" t="s">
        <v>1936</v>
      </c>
      <c r="C489" s="1" t="s">
        <v>1937</v>
      </c>
      <c r="D489" s="1" t="s">
        <v>25</v>
      </c>
      <c r="E489" s="1" t="s">
        <v>32</v>
      </c>
      <c r="F489" s="1" t="s">
        <v>1938</v>
      </c>
      <c r="G489" s="1" t="s">
        <v>65</v>
      </c>
      <c r="H489" s="1" t="s">
        <v>42</v>
      </c>
      <c r="I489" s="1" t="s">
        <v>21</v>
      </c>
      <c r="J489" s="1" t="s">
        <v>71</v>
      </c>
      <c r="K489">
        <v>0</v>
      </c>
      <c r="L489">
        <v>726</v>
      </c>
      <c r="M489">
        <v>0</v>
      </c>
    </row>
    <row r="490" spans="1:13" x14ac:dyDescent="0.35">
      <c r="A490" s="1" t="s">
        <v>1939</v>
      </c>
      <c r="B490" s="1" t="s">
        <v>1940</v>
      </c>
      <c r="C490" s="1" t="s">
        <v>1941</v>
      </c>
      <c r="D490" s="1" t="s">
        <v>25</v>
      </c>
      <c r="E490" s="1" t="s">
        <v>52</v>
      </c>
      <c r="F490" s="1" t="s">
        <v>1942</v>
      </c>
      <c r="G490" s="1" t="s">
        <v>485</v>
      </c>
      <c r="H490" s="1" t="s">
        <v>60</v>
      </c>
      <c r="I490" s="1" t="s">
        <v>131</v>
      </c>
      <c r="J490" s="1" t="s">
        <v>79</v>
      </c>
      <c r="K490">
        <v>6500</v>
      </c>
      <c r="L490">
        <v>2671</v>
      </c>
      <c r="M490">
        <v>0</v>
      </c>
    </row>
    <row r="491" spans="1:13" x14ac:dyDescent="0.35">
      <c r="A491" s="1" t="s">
        <v>1943</v>
      </c>
      <c r="B491" s="1" t="s">
        <v>1944</v>
      </c>
      <c r="C491" s="1" t="s">
        <v>1945</v>
      </c>
      <c r="D491" s="1" t="s">
        <v>16</v>
      </c>
      <c r="E491" s="1" t="s">
        <v>17</v>
      </c>
      <c r="F491" s="1" t="s">
        <v>1946</v>
      </c>
      <c r="G491" s="1" t="s">
        <v>65</v>
      </c>
      <c r="H491" s="1" t="s">
        <v>106</v>
      </c>
      <c r="I491" s="1" t="s">
        <v>21</v>
      </c>
      <c r="J491" s="1" t="s">
        <v>21</v>
      </c>
      <c r="K491">
        <v>2500</v>
      </c>
      <c r="L491">
        <v>2603</v>
      </c>
      <c r="M491">
        <v>0</v>
      </c>
    </row>
    <row r="492" spans="1:13" x14ac:dyDescent="0.35">
      <c r="A492" s="1" t="s">
        <v>1947</v>
      </c>
      <c r="B492" s="1" t="s">
        <v>1574</v>
      </c>
      <c r="C492" s="1" t="s">
        <v>1948</v>
      </c>
      <c r="D492" s="1" t="s">
        <v>16</v>
      </c>
      <c r="E492" s="1" t="s">
        <v>52</v>
      </c>
      <c r="F492" s="1" t="s">
        <v>1949</v>
      </c>
      <c r="G492" s="1" t="s">
        <v>126</v>
      </c>
      <c r="H492" s="1" t="s">
        <v>96</v>
      </c>
      <c r="I492" s="1" t="s">
        <v>112</v>
      </c>
      <c r="J492" s="1" t="s">
        <v>21</v>
      </c>
      <c r="K492">
        <v>6500</v>
      </c>
      <c r="L492">
        <v>3298</v>
      </c>
      <c r="M492">
        <v>0</v>
      </c>
    </row>
    <row r="493" spans="1:13" x14ac:dyDescent="0.35">
      <c r="A493" s="1" t="s">
        <v>1950</v>
      </c>
      <c r="B493" s="1" t="s">
        <v>1951</v>
      </c>
      <c r="C493" s="1" t="s">
        <v>1952</v>
      </c>
      <c r="D493" s="1" t="s">
        <v>254</v>
      </c>
      <c r="E493" s="1" t="s">
        <v>52</v>
      </c>
      <c r="F493" s="1" t="s">
        <v>1953</v>
      </c>
      <c r="G493" s="1" t="s">
        <v>27</v>
      </c>
      <c r="H493" s="1" t="s">
        <v>60</v>
      </c>
      <c r="I493" s="1" t="s">
        <v>131</v>
      </c>
      <c r="J493" s="1" t="s">
        <v>21</v>
      </c>
      <c r="K493">
        <v>6500</v>
      </c>
      <c r="L493">
        <v>3756</v>
      </c>
      <c r="M493">
        <v>0</v>
      </c>
    </row>
    <row r="494" spans="1:13" x14ac:dyDescent="0.35">
      <c r="A494" s="1" t="s">
        <v>1954</v>
      </c>
      <c r="B494" s="1" t="s">
        <v>1955</v>
      </c>
      <c r="C494" s="1" t="s">
        <v>1956</v>
      </c>
      <c r="D494" s="1" t="s">
        <v>93</v>
      </c>
      <c r="E494" s="1" t="s">
        <v>39</v>
      </c>
      <c r="F494" s="1" t="s">
        <v>1957</v>
      </c>
      <c r="G494" s="1" t="s">
        <v>65</v>
      </c>
      <c r="H494" s="1" t="s">
        <v>77</v>
      </c>
      <c r="I494" s="1" t="s">
        <v>21</v>
      </c>
      <c r="J494" s="1" t="s">
        <v>208</v>
      </c>
      <c r="K494">
        <v>7500</v>
      </c>
      <c r="L494">
        <v>3709</v>
      </c>
      <c r="M494">
        <v>0</v>
      </c>
    </row>
    <row r="495" spans="1:13" x14ac:dyDescent="0.35">
      <c r="A495" s="1" t="s">
        <v>1958</v>
      </c>
      <c r="B495" s="1" t="s">
        <v>1959</v>
      </c>
      <c r="C495" s="1" t="s">
        <v>1960</v>
      </c>
      <c r="D495" s="1" t="s">
        <v>25</v>
      </c>
      <c r="E495" s="1" t="s">
        <v>32</v>
      </c>
      <c r="F495" s="1" t="s">
        <v>1961</v>
      </c>
      <c r="G495" s="1" t="s">
        <v>41</v>
      </c>
      <c r="H495" s="1" t="s">
        <v>54</v>
      </c>
      <c r="I495" s="1" t="s">
        <v>21</v>
      </c>
      <c r="J495" s="1" t="s">
        <v>21</v>
      </c>
      <c r="K495">
        <v>0</v>
      </c>
      <c r="L495">
        <v>1339</v>
      </c>
      <c r="M495">
        <v>0</v>
      </c>
    </row>
    <row r="496" spans="1:13" x14ac:dyDescent="0.35">
      <c r="A496" s="1" t="s">
        <v>1962</v>
      </c>
      <c r="B496" s="1" t="s">
        <v>1963</v>
      </c>
      <c r="C496" s="1" t="s">
        <v>1964</v>
      </c>
      <c r="D496" s="1" t="s">
        <v>16</v>
      </c>
      <c r="E496" s="1" t="s">
        <v>32</v>
      </c>
      <c r="F496" s="1" t="s">
        <v>1965</v>
      </c>
      <c r="G496" s="1" t="s">
        <v>126</v>
      </c>
      <c r="H496" s="1" t="s">
        <v>96</v>
      </c>
      <c r="I496" s="1" t="s">
        <v>21</v>
      </c>
      <c r="J496" s="1" t="s">
        <v>21</v>
      </c>
      <c r="K496">
        <v>0</v>
      </c>
      <c r="L496">
        <v>1368</v>
      </c>
      <c r="M496">
        <v>1</v>
      </c>
    </row>
    <row r="497" spans="1:13" x14ac:dyDescent="0.35">
      <c r="A497" s="1" t="s">
        <v>21</v>
      </c>
      <c r="B497" s="1" t="s">
        <v>21</v>
      </c>
      <c r="C497" s="1" t="s">
        <v>1966</v>
      </c>
      <c r="D497" s="1" t="s">
        <v>75</v>
      </c>
      <c r="E497" s="1" t="s">
        <v>32</v>
      </c>
      <c r="F497" s="1" t="s">
        <v>21</v>
      </c>
      <c r="G497" s="1" t="s">
        <v>21</v>
      </c>
      <c r="H497" s="1" t="s">
        <v>42</v>
      </c>
      <c r="I497" s="1" t="s">
        <v>21</v>
      </c>
      <c r="J497" s="1" t="s">
        <v>21</v>
      </c>
      <c r="M497">
        <v>0</v>
      </c>
    </row>
    <row r="498" spans="1:13" x14ac:dyDescent="0.35">
      <c r="A498" s="1" t="s">
        <v>1967</v>
      </c>
      <c r="B498" s="1" t="s">
        <v>1968</v>
      </c>
      <c r="C498" s="1" t="s">
        <v>1969</v>
      </c>
      <c r="D498" s="1" t="s">
        <v>75</v>
      </c>
      <c r="E498" s="1" t="s">
        <v>32</v>
      </c>
      <c r="F498" s="1" t="s">
        <v>1970</v>
      </c>
      <c r="G498" s="1" t="s">
        <v>89</v>
      </c>
      <c r="H498" s="1" t="s">
        <v>106</v>
      </c>
      <c r="I498" s="1" t="s">
        <v>21</v>
      </c>
      <c r="J498" s="1" t="s">
        <v>226</v>
      </c>
      <c r="K498">
        <v>0</v>
      </c>
      <c r="L498">
        <v>3411</v>
      </c>
      <c r="M498">
        <v>0</v>
      </c>
    </row>
    <row r="499" spans="1:13" x14ac:dyDescent="0.35">
      <c r="A499" s="1" t="s">
        <v>1971</v>
      </c>
      <c r="B499" s="1" t="s">
        <v>1972</v>
      </c>
      <c r="C499" s="1" t="s">
        <v>1973</v>
      </c>
      <c r="D499" s="1" t="s">
        <v>58</v>
      </c>
      <c r="E499" s="1" t="s">
        <v>52</v>
      </c>
      <c r="F499" s="1" t="s">
        <v>1974</v>
      </c>
      <c r="G499" s="1" t="s">
        <v>41</v>
      </c>
      <c r="H499" s="1" t="s">
        <v>54</v>
      </c>
      <c r="I499" s="1" t="s">
        <v>112</v>
      </c>
      <c r="J499" s="1" t="s">
        <v>21</v>
      </c>
      <c r="K499">
        <v>6500</v>
      </c>
      <c r="L499">
        <v>2322</v>
      </c>
      <c r="M499">
        <v>0</v>
      </c>
    </row>
    <row r="500" spans="1:13" x14ac:dyDescent="0.35">
      <c r="A500" s="1" t="s">
        <v>1975</v>
      </c>
      <c r="B500" s="1" t="s">
        <v>1976</v>
      </c>
      <c r="C500" s="1" t="s">
        <v>1977</v>
      </c>
      <c r="D500" s="1" t="s">
        <v>58</v>
      </c>
      <c r="E500" s="1" t="s">
        <v>39</v>
      </c>
      <c r="F500" s="1" t="s">
        <v>1978</v>
      </c>
      <c r="G500" s="1" t="s">
        <v>195</v>
      </c>
      <c r="H500" s="1" t="s">
        <v>42</v>
      </c>
      <c r="I500" s="1" t="s">
        <v>21</v>
      </c>
      <c r="J500" s="1" t="s">
        <v>21</v>
      </c>
      <c r="K500">
        <v>7500</v>
      </c>
      <c r="L500">
        <v>4257</v>
      </c>
      <c r="M500">
        <v>0</v>
      </c>
    </row>
    <row r="501" spans="1:13" x14ac:dyDescent="0.35">
      <c r="A501" s="1" t="s">
        <v>1979</v>
      </c>
      <c r="B501" s="1" t="s">
        <v>1980</v>
      </c>
      <c r="C501" s="1" t="s">
        <v>1981</v>
      </c>
      <c r="D501" s="1" t="s">
        <v>16</v>
      </c>
      <c r="E501" s="1" t="s">
        <v>32</v>
      </c>
      <c r="F501" s="1" t="s">
        <v>1982</v>
      </c>
      <c r="G501" s="1" t="s">
        <v>126</v>
      </c>
      <c r="H501" s="1" t="s">
        <v>77</v>
      </c>
      <c r="I501" s="1" t="s">
        <v>21</v>
      </c>
      <c r="J501" s="1" t="s">
        <v>21</v>
      </c>
      <c r="L501">
        <v>741</v>
      </c>
      <c r="M501">
        <v>1</v>
      </c>
    </row>
    <row r="502" spans="1:13" x14ac:dyDescent="0.35">
      <c r="A502" s="1" t="s">
        <v>1983</v>
      </c>
      <c r="B502" s="1" t="s">
        <v>1984</v>
      </c>
      <c r="C502" s="1" t="s">
        <v>1985</v>
      </c>
      <c r="D502" s="1" t="s">
        <v>25</v>
      </c>
      <c r="E502" s="1" t="s">
        <v>94</v>
      </c>
      <c r="F502" s="1" t="s">
        <v>1986</v>
      </c>
      <c r="G502" s="1" t="s">
        <v>485</v>
      </c>
      <c r="H502" s="1" t="s">
        <v>96</v>
      </c>
      <c r="I502" s="1" t="s">
        <v>21</v>
      </c>
      <c r="J502" s="1" t="s">
        <v>21</v>
      </c>
      <c r="K502">
        <v>1500</v>
      </c>
      <c r="L502">
        <v>1096</v>
      </c>
      <c r="M502">
        <v>0</v>
      </c>
    </row>
    <row r="503" spans="1:13" x14ac:dyDescent="0.35">
      <c r="A503" s="1" t="s">
        <v>1987</v>
      </c>
      <c r="B503" s="1" t="s">
        <v>1988</v>
      </c>
      <c r="C503" s="1" t="s">
        <v>1989</v>
      </c>
      <c r="D503" s="1" t="s">
        <v>58</v>
      </c>
      <c r="E503" s="1" t="s">
        <v>52</v>
      </c>
      <c r="F503" s="1" t="s">
        <v>1990</v>
      </c>
      <c r="G503" s="1" t="s">
        <v>27</v>
      </c>
      <c r="H503" s="1" t="s">
        <v>54</v>
      </c>
      <c r="I503" s="1" t="s">
        <v>138</v>
      </c>
      <c r="J503" s="1" t="s">
        <v>21</v>
      </c>
      <c r="K503">
        <v>6500</v>
      </c>
      <c r="L503">
        <v>4957</v>
      </c>
      <c r="M503">
        <v>0</v>
      </c>
    </row>
    <row r="504" spans="1:13" x14ac:dyDescent="0.35">
      <c r="A504" s="1" t="s">
        <v>1991</v>
      </c>
      <c r="B504" s="1" t="s">
        <v>1992</v>
      </c>
      <c r="C504" s="1" t="s">
        <v>1993</v>
      </c>
      <c r="D504" s="1" t="s">
        <v>25</v>
      </c>
      <c r="E504" s="1" t="s">
        <v>32</v>
      </c>
      <c r="F504" s="1" t="s">
        <v>1994</v>
      </c>
      <c r="G504" s="1" t="s">
        <v>195</v>
      </c>
      <c r="H504" s="1" t="s">
        <v>60</v>
      </c>
      <c r="I504" s="1" t="s">
        <v>21</v>
      </c>
      <c r="J504" s="1" t="s">
        <v>226</v>
      </c>
      <c r="K504">
        <v>0</v>
      </c>
      <c r="L504">
        <v>4952</v>
      </c>
      <c r="M504">
        <v>0</v>
      </c>
    </row>
    <row r="505" spans="1:13" x14ac:dyDescent="0.35">
      <c r="A505" s="1" t="s">
        <v>1995</v>
      </c>
      <c r="B505" s="1" t="s">
        <v>1996</v>
      </c>
      <c r="C505" s="1" t="s">
        <v>1997</v>
      </c>
      <c r="D505" s="1" t="s">
        <v>58</v>
      </c>
      <c r="E505" s="1" t="s">
        <v>17</v>
      </c>
      <c r="F505" s="1" t="s">
        <v>1998</v>
      </c>
      <c r="G505" s="1" t="s">
        <v>381</v>
      </c>
      <c r="H505" s="1" t="s">
        <v>106</v>
      </c>
      <c r="I505" s="1" t="s">
        <v>21</v>
      </c>
      <c r="J505" s="1" t="s">
        <v>21</v>
      </c>
      <c r="K505">
        <v>2500</v>
      </c>
      <c r="L505">
        <v>3341</v>
      </c>
      <c r="M505">
        <v>0</v>
      </c>
    </row>
    <row r="506" spans="1:13" x14ac:dyDescent="0.35">
      <c r="A506" s="1" t="s">
        <v>1999</v>
      </c>
      <c r="B506" s="1" t="s">
        <v>2000</v>
      </c>
      <c r="C506" s="1" t="s">
        <v>2001</v>
      </c>
      <c r="D506" s="1" t="s">
        <v>167</v>
      </c>
      <c r="E506" s="1" t="s">
        <v>94</v>
      </c>
      <c r="F506" s="1" t="s">
        <v>2002</v>
      </c>
      <c r="G506" s="1" t="s">
        <v>105</v>
      </c>
      <c r="H506" s="1" t="s">
        <v>77</v>
      </c>
      <c r="I506" s="1" t="s">
        <v>21</v>
      </c>
      <c r="J506" s="1" t="s">
        <v>21</v>
      </c>
      <c r="K506">
        <v>1500</v>
      </c>
      <c r="L506">
        <v>3785</v>
      </c>
      <c r="M506">
        <v>0</v>
      </c>
    </row>
    <row r="507" spans="1:13" x14ac:dyDescent="0.35">
      <c r="A507" s="1" t="s">
        <v>2003</v>
      </c>
      <c r="B507" s="1" t="s">
        <v>2004</v>
      </c>
      <c r="C507" s="1" t="s">
        <v>2005</v>
      </c>
      <c r="D507" s="1" t="s">
        <v>75</v>
      </c>
      <c r="E507" s="1" t="s">
        <v>39</v>
      </c>
      <c r="F507" s="1" t="s">
        <v>2006</v>
      </c>
      <c r="G507" s="1" t="s">
        <v>48</v>
      </c>
      <c r="H507" s="1" t="s">
        <v>106</v>
      </c>
      <c r="I507" s="1" t="s">
        <v>21</v>
      </c>
      <c r="J507" s="1" t="s">
        <v>21</v>
      </c>
      <c r="K507">
        <v>7500</v>
      </c>
      <c r="L507">
        <v>2018</v>
      </c>
      <c r="M507">
        <v>0</v>
      </c>
    </row>
    <row r="508" spans="1:13" x14ac:dyDescent="0.35">
      <c r="A508" s="1" t="s">
        <v>2007</v>
      </c>
      <c r="B508" s="1" t="s">
        <v>2008</v>
      </c>
      <c r="C508" s="1" t="s">
        <v>2009</v>
      </c>
      <c r="D508" s="1" t="s">
        <v>25</v>
      </c>
      <c r="E508" s="1" t="s">
        <v>39</v>
      </c>
      <c r="F508" s="1" t="s">
        <v>2010</v>
      </c>
      <c r="G508" s="1" t="s">
        <v>41</v>
      </c>
      <c r="H508" s="1" t="s">
        <v>54</v>
      </c>
      <c r="I508" s="1" t="s">
        <v>21</v>
      </c>
      <c r="J508" s="1" t="s">
        <v>79</v>
      </c>
      <c r="K508">
        <v>7500</v>
      </c>
      <c r="L508">
        <v>2237</v>
      </c>
      <c r="M508">
        <v>0</v>
      </c>
    </row>
    <row r="509" spans="1:13" x14ac:dyDescent="0.35">
      <c r="A509" s="1" t="s">
        <v>2011</v>
      </c>
      <c r="B509" s="1" t="s">
        <v>2012</v>
      </c>
      <c r="C509" s="1" t="s">
        <v>2013</v>
      </c>
      <c r="D509" s="1" t="s">
        <v>254</v>
      </c>
      <c r="E509" s="1" t="s">
        <v>52</v>
      </c>
      <c r="F509" s="1" t="s">
        <v>2014</v>
      </c>
      <c r="G509" s="1" t="s">
        <v>485</v>
      </c>
      <c r="H509" s="1" t="s">
        <v>106</v>
      </c>
      <c r="I509" s="1" t="s">
        <v>291</v>
      </c>
      <c r="J509" s="1" t="s">
        <v>71</v>
      </c>
      <c r="K509">
        <v>6500</v>
      </c>
      <c r="L509">
        <v>4456</v>
      </c>
      <c r="M509">
        <v>1</v>
      </c>
    </row>
    <row r="510" spans="1:13" x14ac:dyDescent="0.35">
      <c r="A510" s="1" t="s">
        <v>2015</v>
      </c>
      <c r="B510" s="1" t="s">
        <v>2016</v>
      </c>
      <c r="C510" s="1" t="s">
        <v>2017</v>
      </c>
      <c r="D510" s="1" t="s">
        <v>25</v>
      </c>
      <c r="E510" s="1" t="s">
        <v>17</v>
      </c>
      <c r="F510" s="1" t="s">
        <v>2018</v>
      </c>
      <c r="G510" s="1" t="s">
        <v>41</v>
      </c>
      <c r="H510" s="1" t="s">
        <v>77</v>
      </c>
      <c r="I510" s="1" t="s">
        <v>21</v>
      </c>
      <c r="J510" s="1" t="s">
        <v>79</v>
      </c>
      <c r="K510">
        <v>2500</v>
      </c>
      <c r="L510">
        <v>3151</v>
      </c>
      <c r="M510">
        <v>0</v>
      </c>
    </row>
    <row r="511" spans="1:13" x14ac:dyDescent="0.35">
      <c r="A511" s="1" t="s">
        <v>2019</v>
      </c>
      <c r="B511" s="1" t="s">
        <v>974</v>
      </c>
      <c r="C511" s="1" t="s">
        <v>2020</v>
      </c>
      <c r="D511" s="1" t="s">
        <v>25</v>
      </c>
      <c r="E511" s="1" t="s">
        <v>39</v>
      </c>
      <c r="F511" s="1" t="s">
        <v>2021</v>
      </c>
      <c r="G511" s="1" t="s">
        <v>126</v>
      </c>
      <c r="H511" s="1" t="s">
        <v>106</v>
      </c>
      <c r="I511" s="1" t="s">
        <v>21</v>
      </c>
      <c r="J511" s="1" t="s">
        <v>21</v>
      </c>
      <c r="K511">
        <v>7500</v>
      </c>
      <c r="L511">
        <v>4574</v>
      </c>
      <c r="M511">
        <v>0</v>
      </c>
    </row>
    <row r="512" spans="1:13" x14ac:dyDescent="0.35">
      <c r="A512" s="1" t="s">
        <v>2022</v>
      </c>
      <c r="B512" s="1" t="s">
        <v>2023</v>
      </c>
      <c r="C512" s="1" t="s">
        <v>2024</v>
      </c>
      <c r="D512" s="1" t="s">
        <v>75</v>
      </c>
      <c r="E512" s="1" t="s">
        <v>32</v>
      </c>
      <c r="F512" s="1" t="s">
        <v>2025</v>
      </c>
      <c r="G512" s="1" t="s">
        <v>65</v>
      </c>
      <c r="H512" s="1" t="s">
        <v>60</v>
      </c>
      <c r="I512" s="1" t="s">
        <v>21</v>
      </c>
      <c r="J512" s="1" t="s">
        <v>79</v>
      </c>
      <c r="K512">
        <v>0</v>
      </c>
      <c r="L512">
        <v>74946</v>
      </c>
      <c r="M512">
        <v>1</v>
      </c>
    </row>
    <row r="513" spans="1:13" x14ac:dyDescent="0.35">
      <c r="A513" s="1" t="s">
        <v>2026</v>
      </c>
      <c r="B513" s="1" t="s">
        <v>2027</v>
      </c>
      <c r="C513" s="1" t="s">
        <v>2028</v>
      </c>
      <c r="D513" s="1" t="s">
        <v>546</v>
      </c>
      <c r="E513" s="1" t="s">
        <v>39</v>
      </c>
      <c r="F513" s="1" t="s">
        <v>2029</v>
      </c>
      <c r="G513" s="1" t="s">
        <v>126</v>
      </c>
      <c r="H513" s="1" t="s">
        <v>42</v>
      </c>
      <c r="I513" s="1" t="s">
        <v>21</v>
      </c>
      <c r="J513" s="1" t="s">
        <v>79</v>
      </c>
      <c r="K513">
        <v>7500</v>
      </c>
      <c r="L513">
        <v>3300</v>
      </c>
      <c r="M513">
        <v>0</v>
      </c>
    </row>
    <row r="514" spans="1:13" x14ac:dyDescent="0.35">
      <c r="A514" s="1" t="s">
        <v>2030</v>
      </c>
      <c r="B514" s="1" t="s">
        <v>2031</v>
      </c>
      <c r="C514" s="1" t="s">
        <v>2032</v>
      </c>
      <c r="D514" s="1" t="s">
        <v>75</v>
      </c>
      <c r="E514" s="1" t="s">
        <v>32</v>
      </c>
      <c r="F514" s="1" t="s">
        <v>2033</v>
      </c>
      <c r="G514" s="1" t="s">
        <v>65</v>
      </c>
      <c r="H514" s="1" t="s">
        <v>20</v>
      </c>
      <c r="I514" s="1" t="s">
        <v>21</v>
      </c>
      <c r="J514" s="1" t="s">
        <v>79</v>
      </c>
      <c r="K514">
        <v>0</v>
      </c>
      <c r="L514">
        <v>2234</v>
      </c>
      <c r="M514">
        <v>0</v>
      </c>
    </row>
    <row r="515" spans="1:13" x14ac:dyDescent="0.35">
      <c r="A515" s="1" t="s">
        <v>21</v>
      </c>
      <c r="B515" s="1" t="s">
        <v>21</v>
      </c>
      <c r="C515" s="1" t="s">
        <v>2034</v>
      </c>
      <c r="D515" s="1" t="s">
        <v>25</v>
      </c>
      <c r="E515" s="1" t="s">
        <v>52</v>
      </c>
      <c r="F515" s="1" t="s">
        <v>21</v>
      </c>
      <c r="G515" s="1" t="s">
        <v>21</v>
      </c>
      <c r="H515" s="1" t="s">
        <v>54</v>
      </c>
      <c r="I515" s="1" t="s">
        <v>21</v>
      </c>
      <c r="J515" s="1" t="s">
        <v>21</v>
      </c>
      <c r="M515">
        <v>0</v>
      </c>
    </row>
    <row r="516" spans="1:13" x14ac:dyDescent="0.35">
      <c r="A516" s="1" t="s">
        <v>2035</v>
      </c>
      <c r="B516" s="1" t="s">
        <v>1220</v>
      </c>
      <c r="C516" s="1" t="s">
        <v>2036</v>
      </c>
      <c r="D516" s="1" t="s">
        <v>75</v>
      </c>
      <c r="E516" s="1" t="s">
        <v>39</v>
      </c>
      <c r="F516" s="1" t="s">
        <v>2037</v>
      </c>
      <c r="G516" s="1" t="s">
        <v>105</v>
      </c>
      <c r="H516" s="1" t="s">
        <v>60</v>
      </c>
      <c r="I516" s="1" t="s">
        <v>21</v>
      </c>
      <c r="J516" s="1" t="s">
        <v>71</v>
      </c>
      <c r="K516">
        <v>7500</v>
      </c>
      <c r="L516">
        <v>3549</v>
      </c>
      <c r="M516">
        <v>0</v>
      </c>
    </row>
    <row r="517" spans="1:13" x14ac:dyDescent="0.35">
      <c r="A517" s="1" t="s">
        <v>21</v>
      </c>
      <c r="B517" s="1" t="s">
        <v>21</v>
      </c>
      <c r="C517" s="1" t="s">
        <v>2038</v>
      </c>
      <c r="D517" s="1" t="s">
        <v>75</v>
      </c>
      <c r="E517" s="1" t="s">
        <v>39</v>
      </c>
      <c r="F517" s="1" t="s">
        <v>21</v>
      </c>
      <c r="G517" s="1" t="s">
        <v>21</v>
      </c>
      <c r="H517" s="1" t="s">
        <v>54</v>
      </c>
      <c r="I517" s="1" t="s">
        <v>21</v>
      </c>
      <c r="J517" s="1" t="s">
        <v>21</v>
      </c>
      <c r="M517">
        <v>0</v>
      </c>
    </row>
    <row r="518" spans="1:13" x14ac:dyDescent="0.35">
      <c r="A518" s="1" t="s">
        <v>2039</v>
      </c>
      <c r="B518" s="1" t="s">
        <v>2040</v>
      </c>
      <c r="C518" s="1" t="s">
        <v>2041</v>
      </c>
      <c r="D518" s="1" t="s">
        <v>135</v>
      </c>
      <c r="E518" s="1" t="s">
        <v>17</v>
      </c>
      <c r="F518" s="1" t="s">
        <v>2042</v>
      </c>
      <c r="G518" s="1" t="s">
        <v>65</v>
      </c>
      <c r="H518" s="1" t="s">
        <v>96</v>
      </c>
      <c r="I518" s="1" t="s">
        <v>21</v>
      </c>
      <c r="J518" s="1" t="s">
        <v>121</v>
      </c>
      <c r="K518">
        <v>2500</v>
      </c>
      <c r="L518">
        <v>278</v>
      </c>
      <c r="M518">
        <v>0</v>
      </c>
    </row>
    <row r="519" spans="1:13" x14ac:dyDescent="0.35">
      <c r="A519" s="1" t="s">
        <v>21</v>
      </c>
      <c r="B519" s="1" t="s">
        <v>21</v>
      </c>
      <c r="C519" s="1" t="s">
        <v>2043</v>
      </c>
      <c r="D519" s="1" t="s">
        <v>75</v>
      </c>
      <c r="E519" s="1" t="s">
        <v>94</v>
      </c>
      <c r="F519" s="1" t="s">
        <v>21</v>
      </c>
      <c r="G519" s="1" t="s">
        <v>21</v>
      </c>
      <c r="H519" s="1" t="s">
        <v>96</v>
      </c>
      <c r="I519" s="1" t="s">
        <v>21</v>
      </c>
      <c r="J519" s="1" t="s">
        <v>21</v>
      </c>
      <c r="M519">
        <v>0</v>
      </c>
    </row>
    <row r="520" spans="1:13" x14ac:dyDescent="0.35">
      <c r="A520" s="1" t="s">
        <v>2044</v>
      </c>
      <c r="B520" s="1" t="s">
        <v>2045</v>
      </c>
      <c r="C520" s="1" t="s">
        <v>2046</v>
      </c>
      <c r="D520" s="1" t="s">
        <v>254</v>
      </c>
      <c r="E520" s="1" t="s">
        <v>52</v>
      </c>
      <c r="F520" s="1" t="s">
        <v>2047</v>
      </c>
      <c r="G520" s="1" t="s">
        <v>126</v>
      </c>
      <c r="H520" s="1" t="s">
        <v>42</v>
      </c>
      <c r="I520" s="1" t="s">
        <v>131</v>
      </c>
      <c r="J520" s="1" t="s">
        <v>208</v>
      </c>
      <c r="L520">
        <v>3952</v>
      </c>
      <c r="M520">
        <v>0</v>
      </c>
    </row>
    <row r="521" spans="1:13" x14ac:dyDescent="0.35">
      <c r="A521" s="1" t="s">
        <v>2048</v>
      </c>
      <c r="B521" s="1" t="s">
        <v>2049</v>
      </c>
      <c r="C521" s="1" t="s">
        <v>2050</v>
      </c>
      <c r="D521" s="1" t="s">
        <v>25</v>
      </c>
      <c r="E521" s="1" t="s">
        <v>17</v>
      </c>
      <c r="F521" s="1" t="s">
        <v>2051</v>
      </c>
      <c r="G521" s="1" t="s">
        <v>126</v>
      </c>
      <c r="H521" s="1" t="s">
        <v>96</v>
      </c>
      <c r="I521" s="1" t="s">
        <v>21</v>
      </c>
      <c r="J521" s="1" t="s">
        <v>121</v>
      </c>
      <c r="K521">
        <v>2500</v>
      </c>
      <c r="L521">
        <v>3753</v>
      </c>
      <c r="M521">
        <v>0</v>
      </c>
    </row>
    <row r="522" spans="1:13" x14ac:dyDescent="0.35">
      <c r="A522" s="1" t="s">
        <v>2052</v>
      </c>
      <c r="B522" s="1" t="s">
        <v>2053</v>
      </c>
      <c r="C522" s="1" t="s">
        <v>2054</v>
      </c>
      <c r="D522" s="1" t="s">
        <v>58</v>
      </c>
      <c r="E522" s="1" t="s">
        <v>32</v>
      </c>
      <c r="F522" s="1" t="s">
        <v>2055</v>
      </c>
      <c r="G522" s="1" t="s">
        <v>126</v>
      </c>
      <c r="H522" s="1" t="s">
        <v>106</v>
      </c>
      <c r="I522" s="1" t="s">
        <v>21</v>
      </c>
      <c r="J522" s="1" t="s">
        <v>21</v>
      </c>
      <c r="K522">
        <v>0</v>
      </c>
      <c r="L522">
        <v>411</v>
      </c>
      <c r="M522">
        <v>1</v>
      </c>
    </row>
    <row r="523" spans="1:13" x14ac:dyDescent="0.35">
      <c r="A523" s="1" t="s">
        <v>2056</v>
      </c>
      <c r="B523" s="1" t="s">
        <v>2057</v>
      </c>
      <c r="C523" s="1" t="s">
        <v>2058</v>
      </c>
      <c r="D523" s="1" t="s">
        <v>93</v>
      </c>
      <c r="E523" s="1" t="s">
        <v>94</v>
      </c>
      <c r="F523" s="1" t="s">
        <v>2059</v>
      </c>
      <c r="G523" s="1" t="s">
        <v>41</v>
      </c>
      <c r="H523" s="1" t="s">
        <v>77</v>
      </c>
      <c r="I523" s="1" t="s">
        <v>21</v>
      </c>
      <c r="J523" s="1" t="s">
        <v>21</v>
      </c>
      <c r="K523">
        <v>1500</v>
      </c>
      <c r="L523">
        <v>3615</v>
      </c>
      <c r="M523">
        <v>0</v>
      </c>
    </row>
    <row r="524" spans="1:13" x14ac:dyDescent="0.35">
      <c r="A524" s="1" t="s">
        <v>2060</v>
      </c>
      <c r="B524" s="1" t="s">
        <v>2061</v>
      </c>
      <c r="C524" s="1" t="s">
        <v>2062</v>
      </c>
      <c r="D524" s="1" t="s">
        <v>16</v>
      </c>
      <c r="E524" s="1" t="s">
        <v>94</v>
      </c>
      <c r="F524" s="1" t="s">
        <v>2063</v>
      </c>
      <c r="G524" s="1" t="s">
        <v>48</v>
      </c>
      <c r="H524" s="1" t="s">
        <v>42</v>
      </c>
      <c r="I524" s="1" t="s">
        <v>21</v>
      </c>
      <c r="J524" s="1" t="s">
        <v>21</v>
      </c>
      <c r="K524">
        <v>1500</v>
      </c>
      <c r="L524">
        <v>4710</v>
      </c>
      <c r="M524">
        <v>0</v>
      </c>
    </row>
    <row r="525" spans="1:13" x14ac:dyDescent="0.35">
      <c r="A525" s="1" t="s">
        <v>2064</v>
      </c>
      <c r="B525" s="1" t="s">
        <v>1152</v>
      </c>
      <c r="C525" s="1" t="s">
        <v>2065</v>
      </c>
      <c r="D525" s="1" t="s">
        <v>16</v>
      </c>
      <c r="E525" s="1" t="s">
        <v>39</v>
      </c>
      <c r="F525" s="1" t="s">
        <v>2066</v>
      </c>
      <c r="G525" s="1" t="s">
        <v>381</v>
      </c>
      <c r="H525" s="1" t="s">
        <v>77</v>
      </c>
      <c r="I525" s="1" t="s">
        <v>21</v>
      </c>
      <c r="J525" s="1" t="s">
        <v>21</v>
      </c>
      <c r="K525">
        <v>7500</v>
      </c>
      <c r="L525">
        <v>1041</v>
      </c>
      <c r="M525">
        <v>1</v>
      </c>
    </row>
    <row r="526" spans="1:13" x14ac:dyDescent="0.35">
      <c r="A526" s="1" t="s">
        <v>2067</v>
      </c>
      <c r="B526" s="1" t="s">
        <v>2068</v>
      </c>
      <c r="C526" s="1" t="s">
        <v>2069</v>
      </c>
      <c r="D526" s="1" t="s">
        <v>546</v>
      </c>
      <c r="E526" s="1" t="s">
        <v>52</v>
      </c>
      <c r="F526" s="1" t="s">
        <v>2070</v>
      </c>
      <c r="G526" s="1" t="s">
        <v>27</v>
      </c>
      <c r="H526" s="1" t="s">
        <v>96</v>
      </c>
      <c r="I526" s="1" t="s">
        <v>21</v>
      </c>
      <c r="J526" s="1" t="s">
        <v>21</v>
      </c>
      <c r="L526">
        <v>2708</v>
      </c>
      <c r="M526">
        <v>0</v>
      </c>
    </row>
    <row r="527" spans="1:13" x14ac:dyDescent="0.35">
      <c r="A527" s="1" t="s">
        <v>2071</v>
      </c>
      <c r="B527" s="1" t="s">
        <v>2072</v>
      </c>
      <c r="C527" s="1" t="s">
        <v>2073</v>
      </c>
      <c r="D527" s="1" t="s">
        <v>46</v>
      </c>
      <c r="E527" s="1" t="s">
        <v>52</v>
      </c>
      <c r="F527" s="1" t="s">
        <v>2074</v>
      </c>
      <c r="G527" s="1" t="s">
        <v>126</v>
      </c>
      <c r="H527" s="1" t="s">
        <v>77</v>
      </c>
      <c r="I527" s="1" t="s">
        <v>112</v>
      </c>
      <c r="J527" s="1" t="s">
        <v>21</v>
      </c>
      <c r="K527">
        <v>6500</v>
      </c>
      <c r="L527">
        <v>4526</v>
      </c>
      <c r="M527">
        <v>0</v>
      </c>
    </row>
    <row r="528" spans="1:13" x14ac:dyDescent="0.35">
      <c r="A528" s="1" t="s">
        <v>2075</v>
      </c>
      <c r="B528" s="1" t="s">
        <v>2076</v>
      </c>
      <c r="C528" s="1" t="s">
        <v>2077</v>
      </c>
      <c r="D528" s="1" t="s">
        <v>75</v>
      </c>
      <c r="E528" s="1" t="s">
        <v>52</v>
      </c>
      <c r="F528" s="1" t="s">
        <v>2078</v>
      </c>
      <c r="G528" s="1" t="s">
        <v>381</v>
      </c>
      <c r="H528" s="1" t="s">
        <v>35</v>
      </c>
      <c r="I528" s="1" t="s">
        <v>291</v>
      </c>
      <c r="J528" s="1" t="s">
        <v>21</v>
      </c>
      <c r="K528">
        <v>6500</v>
      </c>
      <c r="L528">
        <v>3528</v>
      </c>
      <c r="M528">
        <v>0</v>
      </c>
    </row>
    <row r="529" spans="1:13" x14ac:dyDescent="0.35">
      <c r="A529" s="1" t="s">
        <v>2079</v>
      </c>
      <c r="B529" s="1" t="s">
        <v>2080</v>
      </c>
      <c r="C529" s="1" t="s">
        <v>2081</v>
      </c>
      <c r="D529" s="1" t="s">
        <v>150</v>
      </c>
      <c r="E529" s="1" t="s">
        <v>52</v>
      </c>
      <c r="F529" s="1" t="s">
        <v>2082</v>
      </c>
      <c r="G529" s="1" t="s">
        <v>126</v>
      </c>
      <c r="H529" s="1" t="s">
        <v>60</v>
      </c>
      <c r="I529" s="1" t="s">
        <v>21</v>
      </c>
      <c r="J529" s="1" t="s">
        <v>79</v>
      </c>
      <c r="K529">
        <v>6500</v>
      </c>
      <c r="L529">
        <v>3589</v>
      </c>
      <c r="M529">
        <v>0</v>
      </c>
    </row>
    <row r="530" spans="1:13" x14ac:dyDescent="0.35">
      <c r="A530" s="1" t="s">
        <v>2083</v>
      </c>
      <c r="B530" s="1" t="s">
        <v>609</v>
      </c>
      <c r="C530" s="1" t="s">
        <v>2084</v>
      </c>
      <c r="D530" s="1" t="s">
        <v>58</v>
      </c>
      <c r="E530" s="1" t="s">
        <v>32</v>
      </c>
      <c r="F530" s="1" t="s">
        <v>2085</v>
      </c>
      <c r="G530" s="1" t="s">
        <v>126</v>
      </c>
      <c r="H530" s="1" t="s">
        <v>35</v>
      </c>
      <c r="I530" s="1" t="s">
        <v>21</v>
      </c>
      <c r="J530" s="1" t="s">
        <v>21</v>
      </c>
      <c r="K530">
        <v>0</v>
      </c>
      <c r="L530">
        <v>745</v>
      </c>
      <c r="M530">
        <v>0</v>
      </c>
    </row>
    <row r="531" spans="1:13" x14ac:dyDescent="0.35">
      <c r="A531" s="1" t="s">
        <v>2086</v>
      </c>
      <c r="B531" s="1" t="s">
        <v>2087</v>
      </c>
      <c r="C531" s="1" t="s">
        <v>2088</v>
      </c>
      <c r="D531" s="1" t="s">
        <v>25</v>
      </c>
      <c r="E531" s="1" t="s">
        <v>94</v>
      </c>
      <c r="F531" s="1" t="s">
        <v>2089</v>
      </c>
      <c r="G531" s="1" t="s">
        <v>41</v>
      </c>
      <c r="H531" s="1" t="s">
        <v>77</v>
      </c>
      <c r="I531" s="1" t="s">
        <v>21</v>
      </c>
      <c r="J531" s="1" t="s">
        <v>21</v>
      </c>
      <c r="K531">
        <v>1500</v>
      </c>
      <c r="L531">
        <v>2146</v>
      </c>
      <c r="M531">
        <v>0</v>
      </c>
    </row>
    <row r="532" spans="1:13" x14ac:dyDescent="0.35">
      <c r="A532" s="1" t="s">
        <v>2090</v>
      </c>
      <c r="B532" s="1" t="s">
        <v>2091</v>
      </c>
      <c r="C532" s="1" t="s">
        <v>2092</v>
      </c>
      <c r="D532" s="1" t="s">
        <v>25</v>
      </c>
      <c r="E532" s="1" t="s">
        <v>32</v>
      </c>
      <c r="F532" s="1" t="s">
        <v>2093</v>
      </c>
      <c r="G532" s="1" t="s">
        <v>65</v>
      </c>
      <c r="H532" s="1" t="s">
        <v>106</v>
      </c>
      <c r="I532" s="1" t="s">
        <v>21</v>
      </c>
      <c r="J532" s="1" t="s">
        <v>226</v>
      </c>
      <c r="K532">
        <v>0</v>
      </c>
      <c r="L532">
        <v>3891</v>
      </c>
      <c r="M532">
        <v>0</v>
      </c>
    </row>
    <row r="533" spans="1:13" x14ac:dyDescent="0.35">
      <c r="A533" s="1" t="s">
        <v>2094</v>
      </c>
      <c r="B533" s="1" t="s">
        <v>1157</v>
      </c>
      <c r="C533" s="1" t="s">
        <v>2095</v>
      </c>
      <c r="D533" s="1" t="s">
        <v>25</v>
      </c>
      <c r="E533" s="1" t="s">
        <v>39</v>
      </c>
      <c r="F533" s="1" t="s">
        <v>2096</v>
      </c>
      <c r="G533" s="1" t="s">
        <v>41</v>
      </c>
      <c r="H533" s="1" t="s">
        <v>96</v>
      </c>
      <c r="I533" s="1" t="s">
        <v>21</v>
      </c>
      <c r="J533" s="1" t="s">
        <v>71</v>
      </c>
      <c r="K533">
        <v>7500</v>
      </c>
      <c r="L533">
        <v>3418</v>
      </c>
      <c r="M533">
        <v>0</v>
      </c>
    </row>
    <row r="534" spans="1:13" x14ac:dyDescent="0.35">
      <c r="A534" s="1" t="s">
        <v>2097</v>
      </c>
      <c r="B534" s="1" t="s">
        <v>1169</v>
      </c>
      <c r="C534" s="1" t="s">
        <v>2098</v>
      </c>
      <c r="D534" s="1" t="s">
        <v>58</v>
      </c>
      <c r="E534" s="1" t="s">
        <v>17</v>
      </c>
      <c r="F534" s="1" t="s">
        <v>2099</v>
      </c>
      <c r="G534" s="1" t="s">
        <v>264</v>
      </c>
      <c r="H534" s="1" t="s">
        <v>54</v>
      </c>
      <c r="I534" s="1" t="s">
        <v>21</v>
      </c>
      <c r="J534" s="1" t="s">
        <v>21</v>
      </c>
      <c r="K534">
        <v>2500</v>
      </c>
      <c r="L534">
        <v>712</v>
      </c>
      <c r="M534">
        <v>0</v>
      </c>
    </row>
    <row r="535" spans="1:13" x14ac:dyDescent="0.35">
      <c r="A535" s="1" t="s">
        <v>2100</v>
      </c>
      <c r="B535" s="1" t="s">
        <v>2101</v>
      </c>
      <c r="C535" s="1" t="s">
        <v>2102</v>
      </c>
      <c r="D535" s="1" t="s">
        <v>75</v>
      </c>
      <c r="E535" s="1" t="s">
        <v>39</v>
      </c>
      <c r="F535" s="1" t="s">
        <v>2103</v>
      </c>
      <c r="G535" s="1" t="s">
        <v>485</v>
      </c>
      <c r="H535" s="1" t="s">
        <v>106</v>
      </c>
      <c r="I535" s="1" t="s">
        <v>21</v>
      </c>
      <c r="J535" s="1" t="s">
        <v>286</v>
      </c>
      <c r="K535">
        <v>7500</v>
      </c>
      <c r="L535">
        <v>3045</v>
      </c>
      <c r="M535">
        <v>0</v>
      </c>
    </row>
    <row r="536" spans="1:13" x14ac:dyDescent="0.35">
      <c r="A536" s="1" t="s">
        <v>2104</v>
      </c>
      <c r="B536" s="1" t="s">
        <v>2105</v>
      </c>
      <c r="C536" s="1" t="s">
        <v>2106</v>
      </c>
      <c r="D536" s="1" t="s">
        <v>25</v>
      </c>
      <c r="E536" s="1" t="s">
        <v>32</v>
      </c>
      <c r="F536" s="1" t="s">
        <v>2107</v>
      </c>
      <c r="G536" s="1" t="s">
        <v>65</v>
      </c>
      <c r="H536" s="1" t="s">
        <v>35</v>
      </c>
      <c r="I536" s="1" t="s">
        <v>21</v>
      </c>
      <c r="J536" s="1" t="s">
        <v>71</v>
      </c>
      <c r="K536">
        <v>0</v>
      </c>
      <c r="L536">
        <v>2047</v>
      </c>
      <c r="M536">
        <v>0</v>
      </c>
    </row>
    <row r="537" spans="1:13" x14ac:dyDescent="0.35">
      <c r="A537" s="1" t="s">
        <v>2108</v>
      </c>
      <c r="B537" s="1" t="s">
        <v>431</v>
      </c>
      <c r="C537" s="1" t="s">
        <v>2109</v>
      </c>
      <c r="D537" s="1" t="s">
        <v>25</v>
      </c>
      <c r="E537" s="1" t="s">
        <v>52</v>
      </c>
      <c r="F537" s="1" t="s">
        <v>2110</v>
      </c>
      <c r="G537" s="1" t="s">
        <v>41</v>
      </c>
      <c r="H537" s="1" t="s">
        <v>20</v>
      </c>
      <c r="I537" s="1" t="s">
        <v>138</v>
      </c>
      <c r="J537" s="1" t="s">
        <v>121</v>
      </c>
      <c r="K537">
        <v>6500</v>
      </c>
      <c r="L537">
        <v>48424</v>
      </c>
      <c r="M537">
        <v>0</v>
      </c>
    </row>
    <row r="538" spans="1:13" x14ac:dyDescent="0.35">
      <c r="A538" s="1" t="s">
        <v>2111</v>
      </c>
      <c r="B538" s="1" t="s">
        <v>2112</v>
      </c>
      <c r="C538" s="1" t="s">
        <v>2113</v>
      </c>
      <c r="D538" s="1" t="s">
        <v>254</v>
      </c>
      <c r="E538" s="1" t="s">
        <v>39</v>
      </c>
      <c r="F538" s="1" t="s">
        <v>2114</v>
      </c>
      <c r="G538" s="1" t="s">
        <v>41</v>
      </c>
      <c r="H538" s="1" t="s">
        <v>77</v>
      </c>
      <c r="I538" s="1" t="s">
        <v>21</v>
      </c>
      <c r="J538" s="1" t="s">
        <v>121</v>
      </c>
      <c r="K538">
        <v>7500</v>
      </c>
      <c r="L538">
        <v>894</v>
      </c>
      <c r="M538">
        <v>0</v>
      </c>
    </row>
    <row r="539" spans="1:13" x14ac:dyDescent="0.35">
      <c r="A539" s="1" t="s">
        <v>2115</v>
      </c>
      <c r="B539" s="1" t="s">
        <v>2116</v>
      </c>
      <c r="C539" s="1" t="s">
        <v>2117</v>
      </c>
      <c r="D539" s="1" t="s">
        <v>25</v>
      </c>
      <c r="E539" s="1" t="s">
        <v>39</v>
      </c>
      <c r="F539" s="1" t="s">
        <v>2118</v>
      </c>
      <c r="G539" s="1" t="s">
        <v>126</v>
      </c>
      <c r="H539" s="1" t="s">
        <v>42</v>
      </c>
      <c r="I539" s="1" t="s">
        <v>21</v>
      </c>
      <c r="J539" s="1" t="s">
        <v>79</v>
      </c>
      <c r="K539">
        <v>7500</v>
      </c>
      <c r="L539">
        <v>4635</v>
      </c>
      <c r="M539">
        <v>0</v>
      </c>
    </row>
    <row r="540" spans="1:13" x14ac:dyDescent="0.35">
      <c r="A540" s="1" t="s">
        <v>2119</v>
      </c>
      <c r="B540" s="1" t="s">
        <v>2120</v>
      </c>
      <c r="C540" s="1" t="s">
        <v>2121</v>
      </c>
      <c r="D540" s="1" t="s">
        <v>16</v>
      </c>
      <c r="E540" s="1" t="s">
        <v>17</v>
      </c>
      <c r="F540" s="1" t="s">
        <v>2122</v>
      </c>
      <c r="G540" s="1" t="s">
        <v>137</v>
      </c>
      <c r="H540" s="1" t="s">
        <v>35</v>
      </c>
      <c r="I540" s="1" t="s">
        <v>21</v>
      </c>
      <c r="J540" s="1" t="s">
        <v>21</v>
      </c>
      <c r="K540">
        <v>2500</v>
      </c>
      <c r="L540">
        <v>1582</v>
      </c>
      <c r="M540">
        <v>0</v>
      </c>
    </row>
    <row r="541" spans="1:13" x14ac:dyDescent="0.35">
      <c r="A541" s="1" t="s">
        <v>2123</v>
      </c>
      <c r="B541" s="1" t="s">
        <v>2124</v>
      </c>
      <c r="C541" s="1" t="s">
        <v>2125</v>
      </c>
      <c r="D541" s="1" t="s">
        <v>16</v>
      </c>
      <c r="E541" s="1" t="s">
        <v>39</v>
      </c>
      <c r="F541" s="1" t="s">
        <v>2126</v>
      </c>
      <c r="G541" s="1" t="s">
        <v>105</v>
      </c>
      <c r="H541" s="1" t="s">
        <v>106</v>
      </c>
      <c r="I541" s="1" t="s">
        <v>21</v>
      </c>
      <c r="J541" s="1" t="s">
        <v>21</v>
      </c>
      <c r="K541">
        <v>7500</v>
      </c>
      <c r="M541">
        <v>0</v>
      </c>
    </row>
    <row r="542" spans="1:13" x14ac:dyDescent="0.35">
      <c r="A542" s="1" t="s">
        <v>2127</v>
      </c>
      <c r="B542" s="1" t="s">
        <v>1551</v>
      </c>
      <c r="C542" s="1" t="s">
        <v>2128</v>
      </c>
      <c r="D542" s="1" t="s">
        <v>284</v>
      </c>
      <c r="E542" s="1" t="s">
        <v>94</v>
      </c>
      <c r="F542" s="1" t="s">
        <v>2129</v>
      </c>
      <c r="G542" s="1" t="s">
        <v>195</v>
      </c>
      <c r="H542" s="1" t="s">
        <v>54</v>
      </c>
      <c r="I542" s="1" t="s">
        <v>21</v>
      </c>
      <c r="J542" s="1" t="s">
        <v>121</v>
      </c>
      <c r="K542">
        <v>1500</v>
      </c>
      <c r="L542">
        <v>31489</v>
      </c>
      <c r="M542">
        <v>0</v>
      </c>
    </row>
    <row r="543" spans="1:13" x14ac:dyDescent="0.35">
      <c r="A543" s="1" t="s">
        <v>2130</v>
      </c>
      <c r="B543" s="1" t="s">
        <v>362</v>
      </c>
      <c r="C543" s="1" t="s">
        <v>2131</v>
      </c>
      <c r="D543" s="1" t="s">
        <v>16</v>
      </c>
      <c r="E543" s="1" t="s">
        <v>52</v>
      </c>
      <c r="F543" s="1" t="s">
        <v>2132</v>
      </c>
      <c r="G543" s="1" t="s">
        <v>137</v>
      </c>
      <c r="H543" s="1" t="s">
        <v>20</v>
      </c>
      <c r="I543" s="1" t="s">
        <v>131</v>
      </c>
      <c r="J543" s="1" t="s">
        <v>21</v>
      </c>
      <c r="K543">
        <v>6500</v>
      </c>
      <c r="L543">
        <v>4077</v>
      </c>
      <c r="M543">
        <v>0</v>
      </c>
    </row>
    <row r="544" spans="1:13" x14ac:dyDescent="0.35">
      <c r="A544" s="1" t="s">
        <v>2133</v>
      </c>
      <c r="B544" s="1" t="s">
        <v>2134</v>
      </c>
      <c r="C544" s="1" t="s">
        <v>2135</v>
      </c>
      <c r="D544" s="1" t="s">
        <v>16</v>
      </c>
      <c r="E544" s="1" t="s">
        <v>17</v>
      </c>
      <c r="F544" s="1" t="s">
        <v>2136</v>
      </c>
      <c r="G544" s="1" t="s">
        <v>264</v>
      </c>
      <c r="H544" s="1" t="s">
        <v>35</v>
      </c>
      <c r="I544" s="1" t="s">
        <v>21</v>
      </c>
      <c r="J544" s="1" t="s">
        <v>21</v>
      </c>
      <c r="K544">
        <v>2500</v>
      </c>
      <c r="L544">
        <v>2616</v>
      </c>
      <c r="M544">
        <v>0</v>
      </c>
    </row>
    <row r="545" spans="1:13" x14ac:dyDescent="0.35">
      <c r="A545" s="1" t="s">
        <v>2137</v>
      </c>
      <c r="B545" s="1" t="s">
        <v>2138</v>
      </c>
      <c r="C545" s="1" t="s">
        <v>2139</v>
      </c>
      <c r="D545" s="1" t="s">
        <v>58</v>
      </c>
      <c r="E545" s="1" t="s">
        <v>52</v>
      </c>
      <c r="F545" s="1" t="s">
        <v>2140</v>
      </c>
      <c r="G545" s="1" t="s">
        <v>126</v>
      </c>
      <c r="H545" s="1" t="s">
        <v>20</v>
      </c>
      <c r="I545" s="1" t="s">
        <v>21</v>
      </c>
      <c r="J545" s="1" t="s">
        <v>21</v>
      </c>
      <c r="K545">
        <v>6500</v>
      </c>
      <c r="L545">
        <v>2815</v>
      </c>
      <c r="M545">
        <v>0</v>
      </c>
    </row>
    <row r="546" spans="1:13" x14ac:dyDescent="0.35">
      <c r="A546" s="1" t="s">
        <v>2141</v>
      </c>
      <c r="B546" s="1" t="s">
        <v>2142</v>
      </c>
      <c r="C546" s="1" t="s">
        <v>2143</v>
      </c>
      <c r="D546" s="1" t="s">
        <v>46</v>
      </c>
      <c r="E546" s="1" t="s">
        <v>94</v>
      </c>
      <c r="F546" s="1" t="s">
        <v>2144</v>
      </c>
      <c r="G546" s="1" t="s">
        <v>65</v>
      </c>
      <c r="H546" s="1" t="s">
        <v>77</v>
      </c>
      <c r="I546" s="1" t="s">
        <v>21</v>
      </c>
      <c r="J546" s="1" t="s">
        <v>21</v>
      </c>
      <c r="K546">
        <v>1500</v>
      </c>
      <c r="L546">
        <v>2839</v>
      </c>
      <c r="M546">
        <v>0</v>
      </c>
    </row>
    <row r="547" spans="1:13" x14ac:dyDescent="0.35">
      <c r="A547" s="1" t="s">
        <v>2145</v>
      </c>
      <c r="B547" s="1" t="s">
        <v>2146</v>
      </c>
      <c r="C547" s="1" t="s">
        <v>2147</v>
      </c>
      <c r="D547" s="1" t="s">
        <v>16</v>
      </c>
      <c r="E547" s="1" t="s">
        <v>52</v>
      </c>
      <c r="F547" s="1" t="s">
        <v>2148</v>
      </c>
      <c r="G547" s="1" t="s">
        <v>195</v>
      </c>
      <c r="H547" s="1" t="s">
        <v>77</v>
      </c>
      <c r="I547" s="1" t="s">
        <v>112</v>
      </c>
      <c r="J547" s="1" t="s">
        <v>21</v>
      </c>
      <c r="K547">
        <v>6500</v>
      </c>
      <c r="L547">
        <v>655</v>
      </c>
      <c r="M547">
        <v>0</v>
      </c>
    </row>
    <row r="548" spans="1:13" x14ac:dyDescent="0.35">
      <c r="A548" s="1" t="s">
        <v>2149</v>
      </c>
      <c r="B548" s="1" t="s">
        <v>2150</v>
      </c>
      <c r="C548" s="1" t="s">
        <v>2151</v>
      </c>
      <c r="D548" s="1" t="s">
        <v>58</v>
      </c>
      <c r="E548" s="1" t="s">
        <v>39</v>
      </c>
      <c r="F548" s="1" t="s">
        <v>2152</v>
      </c>
      <c r="G548" s="1" t="s">
        <v>41</v>
      </c>
      <c r="H548" s="1" t="s">
        <v>77</v>
      </c>
      <c r="I548" s="1" t="s">
        <v>21</v>
      </c>
      <c r="J548" s="1" t="s">
        <v>21</v>
      </c>
      <c r="L548">
        <v>2554</v>
      </c>
      <c r="M548">
        <v>0</v>
      </c>
    </row>
    <row r="549" spans="1:13" x14ac:dyDescent="0.35">
      <c r="A549" s="1" t="s">
        <v>2153</v>
      </c>
      <c r="B549" s="1" t="s">
        <v>2154</v>
      </c>
      <c r="C549" s="1" t="s">
        <v>2155</v>
      </c>
      <c r="D549" s="1" t="s">
        <v>25</v>
      </c>
      <c r="E549" s="1" t="s">
        <v>32</v>
      </c>
      <c r="F549" s="1" t="s">
        <v>2156</v>
      </c>
      <c r="G549" s="1" t="s">
        <v>41</v>
      </c>
      <c r="H549" s="1" t="s">
        <v>20</v>
      </c>
      <c r="I549" s="1" t="s">
        <v>21</v>
      </c>
      <c r="J549" s="1" t="s">
        <v>21</v>
      </c>
      <c r="K549">
        <v>0</v>
      </c>
      <c r="L549">
        <v>2295</v>
      </c>
      <c r="M549">
        <v>0</v>
      </c>
    </row>
    <row r="550" spans="1:13" x14ac:dyDescent="0.35">
      <c r="A550" s="1" t="s">
        <v>2157</v>
      </c>
      <c r="B550" s="1" t="s">
        <v>2158</v>
      </c>
      <c r="C550" s="1" t="s">
        <v>2159</v>
      </c>
      <c r="D550" s="1" t="s">
        <v>110</v>
      </c>
      <c r="E550" s="1" t="s">
        <v>52</v>
      </c>
      <c r="F550" s="1" t="s">
        <v>2160</v>
      </c>
      <c r="G550" s="1" t="s">
        <v>65</v>
      </c>
      <c r="H550" s="1" t="s">
        <v>60</v>
      </c>
      <c r="I550" s="1" t="s">
        <v>66</v>
      </c>
      <c r="J550" s="1" t="s">
        <v>21</v>
      </c>
      <c r="K550">
        <v>6500</v>
      </c>
      <c r="L550">
        <v>3003</v>
      </c>
      <c r="M550">
        <v>1</v>
      </c>
    </row>
    <row r="551" spans="1:13" x14ac:dyDescent="0.35">
      <c r="A551" s="1" t="s">
        <v>2161</v>
      </c>
      <c r="B551" s="1" t="s">
        <v>2162</v>
      </c>
      <c r="C551" s="1" t="s">
        <v>2163</v>
      </c>
      <c r="D551" s="1" t="s">
        <v>135</v>
      </c>
      <c r="E551" s="1" t="s">
        <v>52</v>
      </c>
      <c r="F551" s="1" t="s">
        <v>2164</v>
      </c>
      <c r="G551" s="1" t="s">
        <v>19</v>
      </c>
      <c r="H551" s="1" t="s">
        <v>35</v>
      </c>
      <c r="I551" s="1" t="s">
        <v>2165</v>
      </c>
      <c r="J551" s="1" t="s">
        <v>21</v>
      </c>
      <c r="K551">
        <v>6500</v>
      </c>
      <c r="L551">
        <v>2949</v>
      </c>
      <c r="M551">
        <v>1</v>
      </c>
    </row>
    <row r="552" spans="1:13" x14ac:dyDescent="0.35">
      <c r="A552" s="1" t="s">
        <v>2166</v>
      </c>
      <c r="B552" s="1" t="s">
        <v>2167</v>
      </c>
      <c r="C552" s="1" t="s">
        <v>2168</v>
      </c>
      <c r="D552" s="1" t="s">
        <v>150</v>
      </c>
      <c r="E552" s="1" t="s">
        <v>52</v>
      </c>
      <c r="F552" s="1" t="s">
        <v>2169</v>
      </c>
      <c r="G552" s="1" t="s">
        <v>65</v>
      </c>
      <c r="H552" s="1" t="s">
        <v>96</v>
      </c>
      <c r="I552" s="1" t="s">
        <v>131</v>
      </c>
      <c r="J552" s="1" t="s">
        <v>286</v>
      </c>
      <c r="K552">
        <v>6500</v>
      </c>
      <c r="L552">
        <v>2771</v>
      </c>
      <c r="M552">
        <v>0</v>
      </c>
    </row>
    <row r="553" spans="1:13" x14ac:dyDescent="0.35">
      <c r="A553" s="1" t="s">
        <v>2170</v>
      </c>
      <c r="B553" s="1" t="s">
        <v>1704</v>
      </c>
      <c r="C553" s="1" t="s">
        <v>2171</v>
      </c>
      <c r="D553" s="1" t="s">
        <v>150</v>
      </c>
      <c r="E553" s="1" t="s">
        <v>94</v>
      </c>
      <c r="F553" s="1" t="s">
        <v>2172</v>
      </c>
      <c r="G553" s="1" t="s">
        <v>105</v>
      </c>
      <c r="H553" s="1" t="s">
        <v>96</v>
      </c>
      <c r="I553" s="1" t="s">
        <v>21</v>
      </c>
      <c r="J553" s="1" t="s">
        <v>121</v>
      </c>
      <c r="K553">
        <v>1500</v>
      </c>
      <c r="L553">
        <v>3909</v>
      </c>
      <c r="M553">
        <v>0</v>
      </c>
    </row>
    <row r="554" spans="1:13" x14ac:dyDescent="0.35">
      <c r="A554" s="1" t="s">
        <v>2173</v>
      </c>
      <c r="B554" s="1" t="s">
        <v>2174</v>
      </c>
      <c r="C554" s="1" t="s">
        <v>2175</v>
      </c>
      <c r="D554" s="1" t="s">
        <v>58</v>
      </c>
      <c r="E554" s="1" t="s">
        <v>52</v>
      </c>
      <c r="F554" s="1" t="s">
        <v>2176</v>
      </c>
      <c r="G554" s="1" t="s">
        <v>65</v>
      </c>
      <c r="H554" s="1" t="s">
        <v>96</v>
      </c>
      <c r="I554" s="1" t="s">
        <v>131</v>
      </c>
      <c r="J554" s="1" t="s">
        <v>21</v>
      </c>
      <c r="K554">
        <v>6500</v>
      </c>
      <c r="L554">
        <v>4716</v>
      </c>
      <c r="M554">
        <v>0</v>
      </c>
    </row>
    <row r="555" spans="1:13" x14ac:dyDescent="0.35">
      <c r="A555" s="1" t="s">
        <v>2177</v>
      </c>
      <c r="B555" s="1" t="s">
        <v>474</v>
      </c>
      <c r="C555" s="1" t="s">
        <v>2178</v>
      </c>
      <c r="D555" s="1" t="s">
        <v>75</v>
      </c>
      <c r="E555" s="1" t="s">
        <v>17</v>
      </c>
      <c r="F555" s="1" t="s">
        <v>2179</v>
      </c>
      <c r="G555" s="1" t="s">
        <v>41</v>
      </c>
      <c r="H555" s="1" t="s">
        <v>35</v>
      </c>
      <c r="I555" s="1" t="s">
        <v>21</v>
      </c>
      <c r="J555" s="1" t="s">
        <v>79</v>
      </c>
      <c r="K555">
        <v>2500</v>
      </c>
      <c r="L555">
        <v>2267</v>
      </c>
      <c r="M555">
        <v>0</v>
      </c>
    </row>
    <row r="556" spans="1:13" x14ac:dyDescent="0.35">
      <c r="A556" s="1" t="s">
        <v>2180</v>
      </c>
      <c r="B556" s="1" t="s">
        <v>68</v>
      </c>
      <c r="C556" s="1" t="s">
        <v>2181</v>
      </c>
      <c r="D556" s="1" t="s">
        <v>31</v>
      </c>
      <c r="E556" s="1" t="s">
        <v>52</v>
      </c>
      <c r="F556" s="1" t="s">
        <v>2182</v>
      </c>
      <c r="G556" s="1" t="s">
        <v>41</v>
      </c>
      <c r="H556" s="1" t="s">
        <v>35</v>
      </c>
      <c r="I556" s="1" t="s">
        <v>112</v>
      </c>
      <c r="J556" s="1" t="s">
        <v>21</v>
      </c>
      <c r="K556">
        <v>6500</v>
      </c>
      <c r="L556">
        <v>4214</v>
      </c>
      <c r="M556">
        <v>0</v>
      </c>
    </row>
    <row r="557" spans="1:13" x14ac:dyDescent="0.35">
      <c r="A557" s="1" t="s">
        <v>2183</v>
      </c>
      <c r="B557" s="1" t="s">
        <v>2184</v>
      </c>
      <c r="C557" s="1" t="s">
        <v>2185</v>
      </c>
      <c r="D557" s="1" t="s">
        <v>75</v>
      </c>
      <c r="E557" s="1" t="s">
        <v>17</v>
      </c>
      <c r="F557" s="1" t="s">
        <v>2186</v>
      </c>
      <c r="G557" s="1" t="s">
        <v>27</v>
      </c>
      <c r="H557" s="1" t="s">
        <v>20</v>
      </c>
      <c r="I557" s="1" t="s">
        <v>21</v>
      </c>
      <c r="J557" s="1" t="s">
        <v>121</v>
      </c>
      <c r="K557">
        <v>2500</v>
      </c>
      <c r="L557">
        <v>4039</v>
      </c>
      <c r="M557">
        <v>0</v>
      </c>
    </row>
    <row r="558" spans="1:13" x14ac:dyDescent="0.35">
      <c r="A558" s="1" t="s">
        <v>2187</v>
      </c>
      <c r="B558" s="1" t="s">
        <v>2188</v>
      </c>
      <c r="C558" s="1" t="s">
        <v>2189</v>
      </c>
      <c r="D558" s="1" t="s">
        <v>58</v>
      </c>
      <c r="E558" s="1" t="s">
        <v>94</v>
      </c>
      <c r="F558" s="1" t="s">
        <v>2190</v>
      </c>
      <c r="G558" s="1" t="s">
        <v>41</v>
      </c>
      <c r="H558" s="1" t="s">
        <v>54</v>
      </c>
      <c r="I558" s="1" t="s">
        <v>21</v>
      </c>
      <c r="J558" s="1" t="s">
        <v>21</v>
      </c>
      <c r="K558">
        <v>1500</v>
      </c>
      <c r="L558">
        <v>3273</v>
      </c>
      <c r="M558">
        <v>0</v>
      </c>
    </row>
    <row r="559" spans="1:13" x14ac:dyDescent="0.35">
      <c r="A559" s="1" t="s">
        <v>2191</v>
      </c>
      <c r="B559" s="1" t="s">
        <v>2192</v>
      </c>
      <c r="C559" s="1" t="s">
        <v>2193</v>
      </c>
      <c r="D559" s="1" t="s">
        <v>46</v>
      </c>
      <c r="E559" s="1" t="s">
        <v>17</v>
      </c>
      <c r="F559" s="1" t="s">
        <v>2194</v>
      </c>
      <c r="G559" s="1" t="s">
        <v>65</v>
      </c>
      <c r="H559" s="1" t="s">
        <v>77</v>
      </c>
      <c r="I559" s="1" t="s">
        <v>21</v>
      </c>
      <c r="J559" s="1" t="s">
        <v>21</v>
      </c>
      <c r="K559">
        <v>2500</v>
      </c>
      <c r="L559">
        <v>2172</v>
      </c>
      <c r="M559">
        <v>0</v>
      </c>
    </row>
    <row r="560" spans="1:13" x14ac:dyDescent="0.35">
      <c r="A560" s="1" t="s">
        <v>21</v>
      </c>
      <c r="B560" s="1" t="s">
        <v>21</v>
      </c>
      <c r="C560" s="1" t="s">
        <v>2195</v>
      </c>
      <c r="D560" s="1" t="s">
        <v>58</v>
      </c>
      <c r="E560" s="1" t="s">
        <v>94</v>
      </c>
      <c r="F560" s="1" t="s">
        <v>21</v>
      </c>
      <c r="G560" s="1" t="s">
        <v>21</v>
      </c>
      <c r="H560" s="1" t="s">
        <v>60</v>
      </c>
      <c r="I560" s="1" t="s">
        <v>21</v>
      </c>
      <c r="J560" s="1" t="s">
        <v>21</v>
      </c>
      <c r="M560">
        <v>0</v>
      </c>
    </row>
    <row r="561" spans="1:13" x14ac:dyDescent="0.35">
      <c r="A561" s="1" t="s">
        <v>2196</v>
      </c>
      <c r="B561" s="1" t="s">
        <v>2197</v>
      </c>
      <c r="C561" s="1" t="s">
        <v>2198</v>
      </c>
      <c r="D561" s="1" t="s">
        <v>93</v>
      </c>
      <c r="E561" s="1" t="s">
        <v>94</v>
      </c>
      <c r="F561" s="1" t="s">
        <v>2199</v>
      </c>
      <c r="G561" s="1" t="s">
        <v>41</v>
      </c>
      <c r="H561" s="1" t="s">
        <v>106</v>
      </c>
      <c r="I561" s="1" t="s">
        <v>21</v>
      </c>
      <c r="J561" s="1" t="s">
        <v>71</v>
      </c>
      <c r="K561">
        <v>1500</v>
      </c>
      <c r="L561">
        <v>4594</v>
      </c>
      <c r="M561">
        <v>1</v>
      </c>
    </row>
    <row r="562" spans="1:13" x14ac:dyDescent="0.35">
      <c r="A562" s="1" t="s">
        <v>2200</v>
      </c>
      <c r="B562" s="1" t="s">
        <v>2201</v>
      </c>
      <c r="C562" s="1" t="s">
        <v>1113</v>
      </c>
      <c r="D562" s="1" t="s">
        <v>75</v>
      </c>
      <c r="E562" s="1" t="s">
        <v>52</v>
      </c>
      <c r="F562" s="1" t="s">
        <v>2202</v>
      </c>
      <c r="G562" s="1" t="s">
        <v>65</v>
      </c>
      <c r="H562" s="1" t="s">
        <v>20</v>
      </c>
      <c r="I562" s="1" t="s">
        <v>131</v>
      </c>
      <c r="J562" s="1" t="s">
        <v>79</v>
      </c>
      <c r="K562">
        <v>6500</v>
      </c>
      <c r="M562">
        <v>0</v>
      </c>
    </row>
    <row r="563" spans="1:13" x14ac:dyDescent="0.35">
      <c r="A563" s="1" t="s">
        <v>2203</v>
      </c>
      <c r="B563" s="1" t="s">
        <v>2204</v>
      </c>
      <c r="C563" s="1" t="s">
        <v>2205</v>
      </c>
      <c r="D563" s="1" t="s">
        <v>16</v>
      </c>
      <c r="E563" s="1" t="s">
        <v>39</v>
      </c>
      <c r="F563" s="1" t="s">
        <v>2206</v>
      </c>
      <c r="G563" s="1" t="s">
        <v>126</v>
      </c>
      <c r="H563" s="1" t="s">
        <v>106</v>
      </c>
      <c r="I563" s="1" t="s">
        <v>21</v>
      </c>
      <c r="J563" s="1" t="s">
        <v>21</v>
      </c>
      <c r="K563">
        <v>7500</v>
      </c>
      <c r="L563">
        <v>4882</v>
      </c>
      <c r="M563">
        <v>0</v>
      </c>
    </row>
    <row r="564" spans="1:13" x14ac:dyDescent="0.35">
      <c r="A564" s="1" t="s">
        <v>2207</v>
      </c>
      <c r="B564" s="1" t="s">
        <v>2208</v>
      </c>
      <c r="C564" s="1" t="s">
        <v>2209</v>
      </c>
      <c r="D564" s="1" t="s">
        <v>93</v>
      </c>
      <c r="E564" s="1" t="s">
        <v>39</v>
      </c>
      <c r="F564" s="1" t="s">
        <v>2210</v>
      </c>
      <c r="G564" s="1" t="s">
        <v>381</v>
      </c>
      <c r="H564" s="1" t="s">
        <v>54</v>
      </c>
      <c r="I564" s="1" t="s">
        <v>21</v>
      </c>
      <c r="J564" s="1" t="s">
        <v>286</v>
      </c>
      <c r="K564">
        <v>7500</v>
      </c>
      <c r="L564">
        <v>643</v>
      </c>
      <c r="M564">
        <v>0</v>
      </c>
    </row>
    <row r="565" spans="1:13" x14ac:dyDescent="0.35">
      <c r="A565" s="1" t="s">
        <v>2211</v>
      </c>
      <c r="B565" s="1" t="s">
        <v>2212</v>
      </c>
      <c r="C565" s="1" t="s">
        <v>2213</v>
      </c>
      <c r="D565" s="1" t="s">
        <v>25</v>
      </c>
      <c r="E565" s="1" t="s">
        <v>17</v>
      </c>
      <c r="F565" s="1" t="s">
        <v>2214</v>
      </c>
      <c r="G565" s="1" t="s">
        <v>65</v>
      </c>
      <c r="H565" s="1" t="s">
        <v>35</v>
      </c>
      <c r="I565" s="1" t="s">
        <v>21</v>
      </c>
      <c r="J565" s="1" t="s">
        <v>21</v>
      </c>
      <c r="K565">
        <v>2500</v>
      </c>
      <c r="L565">
        <v>253</v>
      </c>
      <c r="M565">
        <v>0</v>
      </c>
    </row>
    <row r="566" spans="1:13" x14ac:dyDescent="0.35">
      <c r="A566" s="1" t="s">
        <v>2215</v>
      </c>
      <c r="B566" s="1" t="s">
        <v>2216</v>
      </c>
      <c r="C566" s="1" t="s">
        <v>2217</v>
      </c>
      <c r="D566" s="1" t="s">
        <v>75</v>
      </c>
      <c r="E566" s="1" t="s">
        <v>94</v>
      </c>
      <c r="F566" s="1" t="s">
        <v>2218</v>
      </c>
      <c r="G566" s="1" t="s">
        <v>126</v>
      </c>
      <c r="H566" s="1" t="s">
        <v>54</v>
      </c>
      <c r="I566" s="1" t="s">
        <v>21</v>
      </c>
      <c r="J566" s="1" t="s">
        <v>71</v>
      </c>
      <c r="K566">
        <v>1500</v>
      </c>
      <c r="L566">
        <v>4912</v>
      </c>
      <c r="M566">
        <v>0</v>
      </c>
    </row>
    <row r="567" spans="1:13" x14ac:dyDescent="0.35">
      <c r="A567" s="1" t="s">
        <v>2219</v>
      </c>
      <c r="B567" s="1" t="s">
        <v>2220</v>
      </c>
      <c r="C567" s="1" t="s">
        <v>2221</v>
      </c>
      <c r="D567" s="1" t="s">
        <v>25</v>
      </c>
      <c r="E567" s="1" t="s">
        <v>17</v>
      </c>
      <c r="F567" s="1" t="s">
        <v>2222</v>
      </c>
      <c r="G567" s="1" t="s">
        <v>126</v>
      </c>
      <c r="H567" s="1" t="s">
        <v>77</v>
      </c>
      <c r="I567" s="1" t="s">
        <v>21</v>
      </c>
      <c r="J567" s="1" t="s">
        <v>71</v>
      </c>
      <c r="K567">
        <v>2500</v>
      </c>
      <c r="L567">
        <v>3534</v>
      </c>
      <c r="M567">
        <v>0</v>
      </c>
    </row>
    <row r="568" spans="1:13" x14ac:dyDescent="0.35">
      <c r="A568" s="1" t="s">
        <v>2223</v>
      </c>
      <c r="B568" s="1" t="s">
        <v>2224</v>
      </c>
      <c r="C568" s="1" t="s">
        <v>2225</v>
      </c>
      <c r="D568" s="1" t="s">
        <v>46</v>
      </c>
      <c r="E568" s="1" t="s">
        <v>32</v>
      </c>
      <c r="F568" s="1" t="s">
        <v>2226</v>
      </c>
      <c r="G568" s="1" t="s">
        <v>105</v>
      </c>
      <c r="H568" s="1" t="s">
        <v>20</v>
      </c>
      <c r="I568" s="1" t="s">
        <v>21</v>
      </c>
      <c r="J568" s="1" t="s">
        <v>21</v>
      </c>
      <c r="K568">
        <v>0</v>
      </c>
      <c r="L568">
        <v>4854</v>
      </c>
      <c r="M568">
        <v>0</v>
      </c>
    </row>
    <row r="569" spans="1:13" x14ac:dyDescent="0.35">
      <c r="A569" s="1" t="s">
        <v>2227</v>
      </c>
      <c r="B569" s="1" t="s">
        <v>2228</v>
      </c>
      <c r="C569" s="1" t="s">
        <v>2229</v>
      </c>
      <c r="D569" s="1" t="s">
        <v>25</v>
      </c>
      <c r="E569" s="1" t="s">
        <v>17</v>
      </c>
      <c r="F569" s="1" t="s">
        <v>2230</v>
      </c>
      <c r="G569" s="1" t="s">
        <v>41</v>
      </c>
      <c r="H569" s="1" t="s">
        <v>106</v>
      </c>
      <c r="I569" s="1" t="s">
        <v>21</v>
      </c>
      <c r="J569" s="1" t="s">
        <v>79</v>
      </c>
      <c r="K569">
        <v>2500</v>
      </c>
      <c r="L569">
        <v>3839</v>
      </c>
      <c r="M569">
        <v>0</v>
      </c>
    </row>
    <row r="570" spans="1:13" x14ac:dyDescent="0.35">
      <c r="A570" s="1" t="s">
        <v>2231</v>
      </c>
      <c r="B570" s="1" t="s">
        <v>2232</v>
      </c>
      <c r="C570" s="1" t="s">
        <v>2233</v>
      </c>
      <c r="D570" s="1" t="s">
        <v>75</v>
      </c>
      <c r="E570" s="1" t="s">
        <v>39</v>
      </c>
      <c r="F570" s="1" t="s">
        <v>2234</v>
      </c>
      <c r="G570" s="1" t="s">
        <v>41</v>
      </c>
      <c r="H570" s="1" t="s">
        <v>54</v>
      </c>
      <c r="I570" s="1" t="s">
        <v>21</v>
      </c>
      <c r="J570" s="1" t="s">
        <v>21</v>
      </c>
      <c r="K570">
        <v>7500</v>
      </c>
      <c r="L570">
        <v>3305</v>
      </c>
      <c r="M570">
        <v>0</v>
      </c>
    </row>
    <row r="571" spans="1:13" x14ac:dyDescent="0.35">
      <c r="A571" s="1" t="s">
        <v>2235</v>
      </c>
      <c r="B571" s="1" t="s">
        <v>2236</v>
      </c>
      <c r="C571" s="1" t="s">
        <v>2237</v>
      </c>
      <c r="D571" s="1" t="s">
        <v>150</v>
      </c>
      <c r="E571" s="1" t="s">
        <v>52</v>
      </c>
      <c r="F571" s="1" t="s">
        <v>2238</v>
      </c>
      <c r="G571" s="1" t="s">
        <v>41</v>
      </c>
      <c r="H571" s="1" t="s">
        <v>96</v>
      </c>
      <c r="I571" s="1" t="s">
        <v>66</v>
      </c>
      <c r="J571" s="1" t="s">
        <v>71</v>
      </c>
      <c r="K571">
        <v>6500</v>
      </c>
      <c r="L571">
        <v>4758</v>
      </c>
      <c r="M571">
        <v>0</v>
      </c>
    </row>
    <row r="572" spans="1:13" x14ac:dyDescent="0.35">
      <c r="A572" s="1" t="s">
        <v>2239</v>
      </c>
      <c r="B572" s="1" t="s">
        <v>2240</v>
      </c>
      <c r="C572" s="1" t="s">
        <v>2241</v>
      </c>
      <c r="D572" s="1" t="s">
        <v>167</v>
      </c>
      <c r="E572" s="1" t="s">
        <v>52</v>
      </c>
      <c r="F572" s="1" t="s">
        <v>2242</v>
      </c>
      <c r="G572" s="1" t="s">
        <v>34</v>
      </c>
      <c r="H572" s="1" t="s">
        <v>54</v>
      </c>
      <c r="I572" s="1" t="s">
        <v>291</v>
      </c>
      <c r="J572" s="1" t="s">
        <v>21</v>
      </c>
      <c r="K572">
        <v>6500</v>
      </c>
      <c r="L572">
        <v>944</v>
      </c>
      <c r="M572">
        <v>0</v>
      </c>
    </row>
    <row r="573" spans="1:13" x14ac:dyDescent="0.35">
      <c r="A573" s="1" t="s">
        <v>2243</v>
      </c>
      <c r="B573" s="1" t="s">
        <v>2244</v>
      </c>
      <c r="C573" s="1" t="s">
        <v>2245</v>
      </c>
      <c r="D573" s="1" t="s">
        <v>546</v>
      </c>
      <c r="E573" s="1" t="s">
        <v>32</v>
      </c>
      <c r="F573" s="1" t="s">
        <v>2246</v>
      </c>
      <c r="G573" s="1" t="s">
        <v>41</v>
      </c>
      <c r="H573" s="1" t="s">
        <v>96</v>
      </c>
      <c r="I573" s="1" t="s">
        <v>21</v>
      </c>
      <c r="J573" s="1" t="s">
        <v>79</v>
      </c>
      <c r="K573">
        <v>0</v>
      </c>
      <c r="L573">
        <v>737</v>
      </c>
      <c r="M573">
        <v>0</v>
      </c>
    </row>
    <row r="574" spans="1:13" x14ac:dyDescent="0.35">
      <c r="A574" s="1" t="s">
        <v>2247</v>
      </c>
      <c r="B574" s="1" t="s">
        <v>2248</v>
      </c>
      <c r="C574" s="1" t="s">
        <v>2249</v>
      </c>
      <c r="D574" s="1" t="s">
        <v>75</v>
      </c>
      <c r="E574" s="1" t="s">
        <v>39</v>
      </c>
      <c r="F574" s="1" t="s">
        <v>2250</v>
      </c>
      <c r="G574" s="1" t="s">
        <v>65</v>
      </c>
      <c r="H574" s="1" t="s">
        <v>42</v>
      </c>
      <c r="I574" s="1" t="s">
        <v>21</v>
      </c>
      <c r="J574" s="1" t="s">
        <v>79</v>
      </c>
      <c r="K574">
        <v>7500</v>
      </c>
      <c r="L574">
        <v>3684</v>
      </c>
      <c r="M574">
        <v>0</v>
      </c>
    </row>
    <row r="575" spans="1:13" x14ac:dyDescent="0.35">
      <c r="A575" s="1" t="s">
        <v>2251</v>
      </c>
      <c r="B575" s="1" t="s">
        <v>2252</v>
      </c>
      <c r="C575" s="1" t="s">
        <v>2253</v>
      </c>
      <c r="D575" s="1" t="s">
        <v>16</v>
      </c>
      <c r="E575" s="1" t="s">
        <v>39</v>
      </c>
      <c r="F575" s="1" t="s">
        <v>2254</v>
      </c>
      <c r="G575" s="1" t="s">
        <v>381</v>
      </c>
      <c r="H575" s="1" t="s">
        <v>42</v>
      </c>
      <c r="I575" s="1" t="s">
        <v>21</v>
      </c>
      <c r="J575" s="1" t="s">
        <v>21</v>
      </c>
      <c r="K575">
        <v>7500</v>
      </c>
      <c r="L575">
        <v>1596</v>
      </c>
      <c r="M575">
        <v>0</v>
      </c>
    </row>
    <row r="576" spans="1:13" x14ac:dyDescent="0.35">
      <c r="A576" s="1" t="s">
        <v>2255</v>
      </c>
      <c r="B576" s="1" t="s">
        <v>2256</v>
      </c>
      <c r="C576" s="1" t="s">
        <v>2257</v>
      </c>
      <c r="D576" s="1" t="s">
        <v>75</v>
      </c>
      <c r="E576" s="1" t="s">
        <v>52</v>
      </c>
      <c r="F576" s="1" t="s">
        <v>2258</v>
      </c>
      <c r="G576" s="1" t="s">
        <v>41</v>
      </c>
      <c r="H576" s="1" t="s">
        <v>96</v>
      </c>
      <c r="I576" s="1" t="s">
        <v>131</v>
      </c>
      <c r="J576" s="1" t="s">
        <v>71</v>
      </c>
      <c r="K576">
        <v>6500</v>
      </c>
      <c r="L576">
        <v>4233</v>
      </c>
      <c r="M576">
        <v>0</v>
      </c>
    </row>
    <row r="577" spans="1:13" x14ac:dyDescent="0.35">
      <c r="A577" s="1" t="s">
        <v>2259</v>
      </c>
      <c r="B577" s="1" t="s">
        <v>2260</v>
      </c>
      <c r="C577" s="1" t="s">
        <v>2261</v>
      </c>
      <c r="D577" s="1" t="s">
        <v>58</v>
      </c>
      <c r="E577" s="1" t="s">
        <v>17</v>
      </c>
      <c r="F577" s="1" t="s">
        <v>2262</v>
      </c>
      <c r="G577" s="1" t="s">
        <v>105</v>
      </c>
      <c r="H577" s="1" t="s">
        <v>20</v>
      </c>
      <c r="I577" s="1" t="s">
        <v>21</v>
      </c>
      <c r="J577" s="1" t="s">
        <v>21</v>
      </c>
      <c r="K577">
        <v>2500</v>
      </c>
      <c r="L577">
        <v>2496</v>
      </c>
      <c r="M577">
        <v>0</v>
      </c>
    </row>
    <row r="578" spans="1:13" x14ac:dyDescent="0.35">
      <c r="A578" s="1" t="s">
        <v>2263</v>
      </c>
      <c r="B578" s="1" t="s">
        <v>2264</v>
      </c>
      <c r="C578" s="1" t="s">
        <v>2265</v>
      </c>
      <c r="D578" s="1" t="s">
        <v>546</v>
      </c>
      <c r="E578" s="1" t="s">
        <v>32</v>
      </c>
      <c r="F578" s="1" t="s">
        <v>2266</v>
      </c>
      <c r="G578" s="1" t="s">
        <v>264</v>
      </c>
      <c r="H578" s="1" t="s">
        <v>42</v>
      </c>
      <c r="I578" s="1" t="s">
        <v>21</v>
      </c>
      <c r="J578" s="1" t="s">
        <v>79</v>
      </c>
      <c r="K578">
        <v>0</v>
      </c>
      <c r="L578">
        <v>4716</v>
      </c>
      <c r="M578">
        <v>0</v>
      </c>
    </row>
    <row r="579" spans="1:13" x14ac:dyDescent="0.35">
      <c r="A579" s="1" t="s">
        <v>2267</v>
      </c>
      <c r="B579" s="1" t="s">
        <v>2268</v>
      </c>
      <c r="C579" s="1" t="s">
        <v>2269</v>
      </c>
      <c r="D579" s="1" t="s">
        <v>58</v>
      </c>
      <c r="E579" s="1" t="s">
        <v>17</v>
      </c>
      <c r="F579" s="1" t="s">
        <v>2270</v>
      </c>
      <c r="G579" s="1" t="s">
        <v>126</v>
      </c>
      <c r="H579" s="1" t="s">
        <v>20</v>
      </c>
      <c r="I579" s="1" t="s">
        <v>21</v>
      </c>
      <c r="J579" s="1" t="s">
        <v>21</v>
      </c>
      <c r="L579">
        <v>784</v>
      </c>
      <c r="M579">
        <v>0</v>
      </c>
    </row>
    <row r="580" spans="1:13" x14ac:dyDescent="0.35">
      <c r="A580" s="1" t="s">
        <v>2271</v>
      </c>
      <c r="B580" s="1" t="s">
        <v>2268</v>
      </c>
      <c r="C580" s="1" t="s">
        <v>2272</v>
      </c>
      <c r="D580" s="1" t="s">
        <v>167</v>
      </c>
      <c r="E580" s="1" t="s">
        <v>17</v>
      </c>
      <c r="F580" s="1" t="s">
        <v>2273</v>
      </c>
      <c r="G580" s="1" t="s">
        <v>137</v>
      </c>
      <c r="H580" s="1" t="s">
        <v>106</v>
      </c>
      <c r="I580" s="1" t="s">
        <v>21</v>
      </c>
      <c r="J580" s="1" t="s">
        <v>21</v>
      </c>
      <c r="K580">
        <v>2500</v>
      </c>
      <c r="L580">
        <v>3984</v>
      </c>
      <c r="M580">
        <v>1</v>
      </c>
    </row>
    <row r="581" spans="1:13" x14ac:dyDescent="0.35">
      <c r="A581" s="1" t="s">
        <v>2274</v>
      </c>
      <c r="B581" s="1" t="s">
        <v>2275</v>
      </c>
      <c r="C581" s="1" t="s">
        <v>2276</v>
      </c>
      <c r="D581" s="1" t="s">
        <v>25</v>
      </c>
      <c r="E581" s="1" t="s">
        <v>52</v>
      </c>
      <c r="F581" s="1" t="s">
        <v>2277</v>
      </c>
      <c r="G581" s="1" t="s">
        <v>65</v>
      </c>
      <c r="H581" s="1" t="s">
        <v>77</v>
      </c>
      <c r="I581" s="1" t="s">
        <v>78</v>
      </c>
      <c r="J581" s="1" t="s">
        <v>286</v>
      </c>
      <c r="K581">
        <v>6500</v>
      </c>
      <c r="L581">
        <v>2198</v>
      </c>
      <c r="M581">
        <v>0</v>
      </c>
    </row>
    <row r="582" spans="1:13" x14ac:dyDescent="0.35">
      <c r="A582" s="1" t="s">
        <v>2278</v>
      </c>
      <c r="B582" s="1" t="s">
        <v>2279</v>
      </c>
      <c r="C582" s="1" t="s">
        <v>2280</v>
      </c>
      <c r="D582" s="1" t="s">
        <v>16</v>
      </c>
      <c r="E582" s="1" t="s">
        <v>17</v>
      </c>
      <c r="F582" s="1" t="s">
        <v>2281</v>
      </c>
      <c r="G582" s="1" t="s">
        <v>65</v>
      </c>
      <c r="H582" s="1" t="s">
        <v>35</v>
      </c>
      <c r="I582" s="1" t="s">
        <v>21</v>
      </c>
      <c r="J582" s="1" t="s">
        <v>21</v>
      </c>
      <c r="K582">
        <v>2500</v>
      </c>
      <c r="L582">
        <v>1211</v>
      </c>
      <c r="M582">
        <v>0</v>
      </c>
    </row>
    <row r="583" spans="1:13" x14ac:dyDescent="0.35">
      <c r="A583" s="1" t="s">
        <v>2282</v>
      </c>
      <c r="B583" s="1" t="s">
        <v>2283</v>
      </c>
      <c r="C583" s="1" t="s">
        <v>2284</v>
      </c>
      <c r="D583" s="1" t="s">
        <v>167</v>
      </c>
      <c r="E583" s="1" t="s">
        <v>94</v>
      </c>
      <c r="F583" s="1" t="s">
        <v>2285</v>
      </c>
      <c r="G583" s="1" t="s">
        <v>41</v>
      </c>
      <c r="H583" s="1" t="s">
        <v>106</v>
      </c>
      <c r="I583" s="1" t="s">
        <v>21</v>
      </c>
      <c r="J583" s="1" t="s">
        <v>21</v>
      </c>
      <c r="K583">
        <v>1500</v>
      </c>
      <c r="L583">
        <v>3637</v>
      </c>
      <c r="M583">
        <v>0</v>
      </c>
    </row>
    <row r="584" spans="1:13" x14ac:dyDescent="0.35">
      <c r="A584" s="1" t="s">
        <v>2286</v>
      </c>
      <c r="B584" s="1" t="s">
        <v>2287</v>
      </c>
      <c r="C584" s="1" t="s">
        <v>2288</v>
      </c>
      <c r="D584" s="1" t="s">
        <v>150</v>
      </c>
      <c r="E584" s="1" t="s">
        <v>52</v>
      </c>
      <c r="F584" s="1" t="s">
        <v>2289</v>
      </c>
      <c r="G584" s="1" t="s">
        <v>65</v>
      </c>
      <c r="H584" s="1" t="s">
        <v>35</v>
      </c>
      <c r="I584" s="1" t="s">
        <v>772</v>
      </c>
      <c r="J584" s="1" t="s">
        <v>21</v>
      </c>
      <c r="K584">
        <v>6500</v>
      </c>
      <c r="L584">
        <v>2899</v>
      </c>
      <c r="M584">
        <v>0</v>
      </c>
    </row>
    <row r="585" spans="1:13" x14ac:dyDescent="0.35">
      <c r="A585" s="1" t="s">
        <v>2290</v>
      </c>
      <c r="B585" s="1" t="s">
        <v>2291</v>
      </c>
      <c r="C585" s="1" t="s">
        <v>2292</v>
      </c>
      <c r="D585" s="1" t="s">
        <v>167</v>
      </c>
      <c r="E585" s="1" t="s">
        <v>17</v>
      </c>
      <c r="F585" s="1" t="s">
        <v>2293</v>
      </c>
      <c r="G585" s="1" t="s">
        <v>41</v>
      </c>
      <c r="H585" s="1" t="s">
        <v>54</v>
      </c>
      <c r="I585" s="1" t="s">
        <v>21</v>
      </c>
      <c r="J585" s="1" t="s">
        <v>21</v>
      </c>
      <c r="K585">
        <v>2500</v>
      </c>
      <c r="L585">
        <v>3406</v>
      </c>
      <c r="M585">
        <v>0</v>
      </c>
    </row>
    <row r="586" spans="1:13" x14ac:dyDescent="0.35">
      <c r="A586" s="1" t="s">
        <v>2294</v>
      </c>
      <c r="B586" s="1" t="s">
        <v>2295</v>
      </c>
      <c r="C586" s="1" t="s">
        <v>2296</v>
      </c>
      <c r="D586" s="1" t="s">
        <v>58</v>
      </c>
      <c r="E586" s="1" t="s">
        <v>17</v>
      </c>
      <c r="F586" s="1" t="s">
        <v>2297</v>
      </c>
      <c r="G586" s="1" t="s">
        <v>126</v>
      </c>
      <c r="H586" s="1" t="s">
        <v>77</v>
      </c>
      <c r="I586" s="1" t="s">
        <v>21</v>
      </c>
      <c r="J586" s="1" t="s">
        <v>21</v>
      </c>
      <c r="K586">
        <v>2500</v>
      </c>
      <c r="L586">
        <v>2372</v>
      </c>
      <c r="M586">
        <v>0</v>
      </c>
    </row>
    <row r="587" spans="1:13" x14ac:dyDescent="0.35">
      <c r="A587" s="1" t="s">
        <v>2298</v>
      </c>
      <c r="B587" s="1" t="s">
        <v>2299</v>
      </c>
      <c r="C587" s="1" t="s">
        <v>2300</v>
      </c>
      <c r="D587" s="1" t="s">
        <v>150</v>
      </c>
      <c r="E587" s="1" t="s">
        <v>32</v>
      </c>
      <c r="F587" s="1" t="s">
        <v>2301</v>
      </c>
      <c r="G587" s="1" t="s">
        <v>89</v>
      </c>
      <c r="H587" s="1" t="s">
        <v>54</v>
      </c>
      <c r="I587" s="1" t="s">
        <v>21</v>
      </c>
      <c r="J587" s="1" t="s">
        <v>121</v>
      </c>
      <c r="K587">
        <v>0</v>
      </c>
      <c r="L587">
        <v>4100</v>
      </c>
      <c r="M587">
        <v>0</v>
      </c>
    </row>
    <row r="588" spans="1:13" x14ac:dyDescent="0.35">
      <c r="A588" s="1" t="s">
        <v>2302</v>
      </c>
      <c r="B588" s="1" t="s">
        <v>2303</v>
      </c>
      <c r="C588" s="1" t="s">
        <v>2304</v>
      </c>
      <c r="D588" s="1" t="s">
        <v>25</v>
      </c>
      <c r="E588" s="1" t="s">
        <v>39</v>
      </c>
      <c r="F588" s="1" t="s">
        <v>2305</v>
      </c>
      <c r="G588" s="1" t="s">
        <v>65</v>
      </c>
      <c r="H588" s="1" t="s">
        <v>54</v>
      </c>
      <c r="I588" s="1" t="s">
        <v>21</v>
      </c>
      <c r="J588" s="1" t="s">
        <v>79</v>
      </c>
      <c r="K588">
        <v>7500</v>
      </c>
      <c r="L588">
        <v>3916</v>
      </c>
      <c r="M588">
        <v>1</v>
      </c>
    </row>
    <row r="589" spans="1:13" x14ac:dyDescent="0.35">
      <c r="A589" s="1" t="s">
        <v>2306</v>
      </c>
      <c r="B589" s="1" t="s">
        <v>2307</v>
      </c>
      <c r="C589" s="1" t="s">
        <v>2308</v>
      </c>
      <c r="D589" s="1" t="s">
        <v>25</v>
      </c>
      <c r="E589" s="1" t="s">
        <v>17</v>
      </c>
      <c r="F589" s="1" t="s">
        <v>2309</v>
      </c>
      <c r="G589" s="1" t="s">
        <v>264</v>
      </c>
      <c r="H589" s="1" t="s">
        <v>96</v>
      </c>
      <c r="I589" s="1" t="s">
        <v>21</v>
      </c>
      <c r="J589" s="1" t="s">
        <v>21</v>
      </c>
      <c r="K589">
        <v>2500</v>
      </c>
      <c r="L589">
        <v>4435</v>
      </c>
      <c r="M589">
        <v>0</v>
      </c>
    </row>
    <row r="590" spans="1:13" x14ac:dyDescent="0.35">
      <c r="A590" s="1" t="s">
        <v>2310</v>
      </c>
      <c r="B590" s="1" t="s">
        <v>2311</v>
      </c>
      <c r="C590" s="1" t="s">
        <v>2312</v>
      </c>
      <c r="D590" s="1" t="s">
        <v>58</v>
      </c>
      <c r="E590" s="1" t="s">
        <v>94</v>
      </c>
      <c r="F590" s="1" t="s">
        <v>2313</v>
      </c>
      <c r="G590" s="1" t="s">
        <v>65</v>
      </c>
      <c r="H590" s="1" t="s">
        <v>20</v>
      </c>
      <c r="I590" s="1" t="s">
        <v>21</v>
      </c>
      <c r="J590" s="1" t="s">
        <v>21</v>
      </c>
      <c r="K590">
        <v>1500</v>
      </c>
      <c r="L590">
        <v>289</v>
      </c>
      <c r="M590">
        <v>0</v>
      </c>
    </row>
    <row r="591" spans="1:13" x14ac:dyDescent="0.35">
      <c r="A591" s="1" t="s">
        <v>2314</v>
      </c>
      <c r="B591" s="1" t="s">
        <v>634</v>
      </c>
      <c r="C591" s="1" t="s">
        <v>2315</v>
      </c>
      <c r="D591" s="1" t="s">
        <v>46</v>
      </c>
      <c r="E591" s="1" t="s">
        <v>52</v>
      </c>
      <c r="F591" s="1" t="s">
        <v>2316</v>
      </c>
      <c r="G591" s="1" t="s">
        <v>41</v>
      </c>
      <c r="H591" s="1" t="s">
        <v>20</v>
      </c>
      <c r="I591" s="1" t="s">
        <v>66</v>
      </c>
      <c r="J591" s="1" t="s">
        <v>21</v>
      </c>
      <c r="K591">
        <v>6500</v>
      </c>
      <c r="L591">
        <v>4670</v>
      </c>
      <c r="M591">
        <v>1</v>
      </c>
    </row>
    <row r="592" spans="1:13" x14ac:dyDescent="0.35">
      <c r="A592" s="1" t="s">
        <v>21</v>
      </c>
      <c r="B592" s="1" t="s">
        <v>21</v>
      </c>
      <c r="C592" s="1" t="s">
        <v>2317</v>
      </c>
      <c r="D592" s="1" t="s">
        <v>25</v>
      </c>
      <c r="E592" s="1" t="s">
        <v>32</v>
      </c>
      <c r="F592" s="1" t="s">
        <v>21</v>
      </c>
      <c r="G592" s="1" t="s">
        <v>21</v>
      </c>
      <c r="H592" s="1" t="s">
        <v>96</v>
      </c>
      <c r="I592" s="1" t="s">
        <v>21</v>
      </c>
      <c r="J592" s="1" t="s">
        <v>21</v>
      </c>
      <c r="M592">
        <v>0</v>
      </c>
    </row>
    <row r="593" spans="1:13" x14ac:dyDescent="0.35">
      <c r="A593" s="1" t="s">
        <v>21</v>
      </c>
      <c r="B593" s="1" t="s">
        <v>21</v>
      </c>
      <c r="C593" s="1" t="s">
        <v>2318</v>
      </c>
      <c r="D593" s="1" t="s">
        <v>58</v>
      </c>
      <c r="E593" s="1" t="s">
        <v>94</v>
      </c>
      <c r="F593" s="1" t="s">
        <v>21</v>
      </c>
      <c r="G593" s="1" t="s">
        <v>21</v>
      </c>
      <c r="H593" s="1" t="s">
        <v>106</v>
      </c>
      <c r="I593" s="1" t="s">
        <v>21</v>
      </c>
      <c r="J593" s="1" t="s">
        <v>21</v>
      </c>
      <c r="M593">
        <v>0</v>
      </c>
    </row>
    <row r="594" spans="1:13" x14ac:dyDescent="0.35">
      <c r="A594" s="1" t="s">
        <v>2319</v>
      </c>
      <c r="B594" s="1" t="s">
        <v>2320</v>
      </c>
      <c r="C594" s="1" t="s">
        <v>2321</v>
      </c>
      <c r="D594" s="1" t="s">
        <v>25</v>
      </c>
      <c r="E594" s="1" t="s">
        <v>52</v>
      </c>
      <c r="F594" s="1" t="s">
        <v>2322</v>
      </c>
      <c r="G594" s="1" t="s">
        <v>381</v>
      </c>
      <c r="H594" s="1" t="s">
        <v>35</v>
      </c>
      <c r="I594" s="1" t="s">
        <v>2323</v>
      </c>
      <c r="J594" s="1" t="s">
        <v>21</v>
      </c>
      <c r="K594">
        <v>6500</v>
      </c>
      <c r="L594">
        <v>4790</v>
      </c>
      <c r="M594">
        <v>1</v>
      </c>
    </row>
    <row r="595" spans="1:13" x14ac:dyDescent="0.35">
      <c r="A595" s="1" t="s">
        <v>2324</v>
      </c>
      <c r="B595" s="1" t="s">
        <v>2325</v>
      </c>
      <c r="C595" s="1" t="s">
        <v>2326</v>
      </c>
      <c r="D595" s="1" t="s">
        <v>58</v>
      </c>
      <c r="E595" s="1" t="s">
        <v>52</v>
      </c>
      <c r="F595" s="1" t="s">
        <v>2327</v>
      </c>
      <c r="G595" s="1" t="s">
        <v>126</v>
      </c>
      <c r="H595" s="1" t="s">
        <v>54</v>
      </c>
      <c r="I595" s="1" t="s">
        <v>131</v>
      </c>
      <c r="J595" s="1" t="s">
        <v>21</v>
      </c>
      <c r="K595">
        <v>6500</v>
      </c>
      <c r="L595">
        <v>2695</v>
      </c>
      <c r="M595">
        <v>0</v>
      </c>
    </row>
    <row r="596" spans="1:13" x14ac:dyDescent="0.35">
      <c r="A596" s="1" t="s">
        <v>2328</v>
      </c>
      <c r="B596" s="1" t="s">
        <v>2329</v>
      </c>
      <c r="C596" s="1" t="s">
        <v>2330</v>
      </c>
      <c r="D596" s="1" t="s">
        <v>58</v>
      </c>
      <c r="E596" s="1" t="s">
        <v>17</v>
      </c>
      <c r="F596" s="1" t="s">
        <v>2331</v>
      </c>
      <c r="G596" s="1" t="s">
        <v>19</v>
      </c>
      <c r="H596" s="1" t="s">
        <v>60</v>
      </c>
      <c r="I596" s="1" t="s">
        <v>21</v>
      </c>
      <c r="J596" s="1" t="s">
        <v>21</v>
      </c>
      <c r="K596">
        <v>2500</v>
      </c>
      <c r="L596">
        <v>3167</v>
      </c>
      <c r="M596">
        <v>0</v>
      </c>
    </row>
    <row r="597" spans="1:13" x14ac:dyDescent="0.35">
      <c r="A597" s="1" t="s">
        <v>2332</v>
      </c>
      <c r="B597" s="1" t="s">
        <v>2333</v>
      </c>
      <c r="C597" s="1" t="s">
        <v>2334</v>
      </c>
      <c r="D597" s="1" t="s">
        <v>58</v>
      </c>
      <c r="E597" s="1" t="s">
        <v>39</v>
      </c>
      <c r="F597" s="1" t="s">
        <v>2335</v>
      </c>
      <c r="G597" s="1" t="s">
        <v>126</v>
      </c>
      <c r="H597" s="1" t="s">
        <v>106</v>
      </c>
      <c r="I597" s="1" t="s">
        <v>21</v>
      </c>
      <c r="J597" s="1" t="s">
        <v>21</v>
      </c>
      <c r="K597">
        <v>7500</v>
      </c>
      <c r="L597">
        <v>627</v>
      </c>
      <c r="M597">
        <v>0</v>
      </c>
    </row>
    <row r="598" spans="1:13" x14ac:dyDescent="0.35">
      <c r="A598" s="1" t="s">
        <v>21</v>
      </c>
      <c r="B598" s="1" t="s">
        <v>21</v>
      </c>
      <c r="C598" s="1" t="s">
        <v>2336</v>
      </c>
      <c r="D598" s="1" t="s">
        <v>75</v>
      </c>
      <c r="E598" s="1" t="s">
        <v>94</v>
      </c>
      <c r="F598" s="1" t="s">
        <v>21</v>
      </c>
      <c r="G598" s="1" t="s">
        <v>21</v>
      </c>
      <c r="H598" s="1" t="s">
        <v>106</v>
      </c>
      <c r="I598" s="1" t="s">
        <v>21</v>
      </c>
      <c r="J598" s="1" t="s">
        <v>21</v>
      </c>
      <c r="M598">
        <v>0</v>
      </c>
    </row>
    <row r="599" spans="1:13" x14ac:dyDescent="0.35">
      <c r="A599" s="1" t="s">
        <v>2337</v>
      </c>
      <c r="B599" s="1" t="s">
        <v>1888</v>
      </c>
      <c r="C599" s="1" t="s">
        <v>2338</v>
      </c>
      <c r="D599" s="1" t="s">
        <v>284</v>
      </c>
      <c r="E599" s="1" t="s">
        <v>52</v>
      </c>
      <c r="F599" s="1" t="s">
        <v>2339</v>
      </c>
      <c r="G599" s="1" t="s">
        <v>41</v>
      </c>
      <c r="H599" s="1" t="s">
        <v>54</v>
      </c>
      <c r="I599" s="1" t="s">
        <v>112</v>
      </c>
      <c r="J599" s="1" t="s">
        <v>79</v>
      </c>
      <c r="K599">
        <v>6500</v>
      </c>
      <c r="L599">
        <v>2603</v>
      </c>
      <c r="M599">
        <v>0</v>
      </c>
    </row>
    <row r="600" spans="1:13" x14ac:dyDescent="0.35">
      <c r="A600" s="1" t="s">
        <v>2340</v>
      </c>
      <c r="B600" s="1" t="s">
        <v>2341</v>
      </c>
      <c r="C600" s="1" t="s">
        <v>2342</v>
      </c>
      <c r="D600" s="1" t="s">
        <v>25</v>
      </c>
      <c r="E600" s="1" t="s">
        <v>52</v>
      </c>
      <c r="F600" s="1" t="s">
        <v>2343</v>
      </c>
      <c r="G600" s="1" t="s">
        <v>126</v>
      </c>
      <c r="H600" s="1" t="s">
        <v>42</v>
      </c>
      <c r="I600" s="1" t="s">
        <v>138</v>
      </c>
      <c r="J600" s="1" t="s">
        <v>71</v>
      </c>
      <c r="K600">
        <v>6500</v>
      </c>
      <c r="L600">
        <v>795</v>
      </c>
      <c r="M600">
        <v>0</v>
      </c>
    </row>
    <row r="601" spans="1:13" x14ac:dyDescent="0.35">
      <c r="A601" s="1" t="s">
        <v>2344</v>
      </c>
      <c r="B601" s="1" t="s">
        <v>2345</v>
      </c>
      <c r="C601" s="1" t="s">
        <v>2346</v>
      </c>
      <c r="D601" s="1" t="s">
        <v>75</v>
      </c>
      <c r="E601" s="1" t="s">
        <v>17</v>
      </c>
      <c r="F601" s="1" t="s">
        <v>2347</v>
      </c>
      <c r="G601" s="1" t="s">
        <v>41</v>
      </c>
      <c r="H601" s="1" t="s">
        <v>54</v>
      </c>
      <c r="I601" s="1" t="s">
        <v>21</v>
      </c>
      <c r="J601" s="1" t="s">
        <v>79</v>
      </c>
      <c r="K601">
        <v>2500</v>
      </c>
      <c r="L601">
        <v>4834</v>
      </c>
      <c r="M601">
        <v>0</v>
      </c>
    </row>
    <row r="602" spans="1:13" x14ac:dyDescent="0.35">
      <c r="A602" s="1" t="s">
        <v>2348</v>
      </c>
      <c r="B602" s="1" t="s">
        <v>2349</v>
      </c>
      <c r="C602" s="1" t="s">
        <v>2350</v>
      </c>
      <c r="D602" s="1" t="s">
        <v>75</v>
      </c>
      <c r="E602" s="1" t="s">
        <v>32</v>
      </c>
      <c r="F602" s="1" t="s">
        <v>2351</v>
      </c>
      <c r="G602" s="1" t="s">
        <v>41</v>
      </c>
      <c r="H602" s="1" t="s">
        <v>96</v>
      </c>
      <c r="I602" s="1" t="s">
        <v>21</v>
      </c>
      <c r="J602" s="1" t="s">
        <v>21</v>
      </c>
      <c r="K602">
        <v>0</v>
      </c>
      <c r="L602">
        <v>2042</v>
      </c>
      <c r="M602">
        <v>0</v>
      </c>
    </row>
    <row r="603" spans="1:13" x14ac:dyDescent="0.35">
      <c r="A603" s="1" t="s">
        <v>2352</v>
      </c>
      <c r="B603" s="1" t="s">
        <v>2353</v>
      </c>
      <c r="C603" s="1" t="s">
        <v>2354</v>
      </c>
      <c r="D603" s="1" t="s">
        <v>25</v>
      </c>
      <c r="E603" s="1" t="s">
        <v>94</v>
      </c>
      <c r="F603" s="1" t="s">
        <v>2355</v>
      </c>
      <c r="G603" s="1" t="s">
        <v>65</v>
      </c>
      <c r="H603" s="1" t="s">
        <v>35</v>
      </c>
      <c r="I603" s="1" t="s">
        <v>21</v>
      </c>
      <c r="J603" s="1" t="s">
        <v>79</v>
      </c>
      <c r="K603">
        <v>1500</v>
      </c>
      <c r="L603">
        <v>2697</v>
      </c>
      <c r="M603">
        <v>0</v>
      </c>
    </row>
    <row r="604" spans="1:13" x14ac:dyDescent="0.35">
      <c r="A604" s="1" t="s">
        <v>2356</v>
      </c>
      <c r="B604" s="1" t="s">
        <v>2357</v>
      </c>
      <c r="C604" s="1" t="s">
        <v>2358</v>
      </c>
      <c r="D604" s="1" t="s">
        <v>93</v>
      </c>
      <c r="E604" s="1" t="s">
        <v>52</v>
      </c>
      <c r="F604" s="1" t="s">
        <v>2359</v>
      </c>
      <c r="G604" s="1" t="s">
        <v>195</v>
      </c>
      <c r="H604" s="1" t="s">
        <v>20</v>
      </c>
      <c r="I604" s="1" t="s">
        <v>21</v>
      </c>
      <c r="J604" s="1" t="s">
        <v>21</v>
      </c>
      <c r="K604">
        <v>6500</v>
      </c>
      <c r="L604">
        <v>2037</v>
      </c>
      <c r="M604">
        <v>0</v>
      </c>
    </row>
    <row r="605" spans="1:13" x14ac:dyDescent="0.35">
      <c r="A605" s="1" t="s">
        <v>2360</v>
      </c>
      <c r="B605" s="1" t="s">
        <v>2361</v>
      </c>
      <c r="C605" s="1" t="s">
        <v>2362</v>
      </c>
      <c r="D605" s="1" t="s">
        <v>254</v>
      </c>
      <c r="E605" s="1" t="s">
        <v>32</v>
      </c>
      <c r="F605" s="1" t="s">
        <v>2363</v>
      </c>
      <c r="G605" s="1" t="s">
        <v>65</v>
      </c>
      <c r="H605" s="1" t="s">
        <v>54</v>
      </c>
      <c r="I605" s="1" t="s">
        <v>21</v>
      </c>
      <c r="J605" s="1" t="s">
        <v>121</v>
      </c>
      <c r="K605">
        <v>0</v>
      </c>
      <c r="L605">
        <v>997</v>
      </c>
      <c r="M605">
        <v>0</v>
      </c>
    </row>
    <row r="606" spans="1:13" x14ac:dyDescent="0.35">
      <c r="A606" s="1" t="s">
        <v>2364</v>
      </c>
      <c r="B606" s="1" t="s">
        <v>2365</v>
      </c>
      <c r="C606" s="1" t="s">
        <v>2366</v>
      </c>
      <c r="D606" s="1" t="s">
        <v>31</v>
      </c>
      <c r="E606" s="1" t="s">
        <v>32</v>
      </c>
      <c r="F606" s="1" t="s">
        <v>2367</v>
      </c>
      <c r="G606" s="1" t="s">
        <v>485</v>
      </c>
      <c r="H606" s="1" t="s">
        <v>42</v>
      </c>
      <c r="I606" s="1" t="s">
        <v>21</v>
      </c>
      <c r="J606" s="1" t="s">
        <v>21</v>
      </c>
      <c r="K606">
        <v>0</v>
      </c>
      <c r="L606">
        <v>2448</v>
      </c>
      <c r="M606">
        <v>1</v>
      </c>
    </row>
    <row r="607" spans="1:13" x14ac:dyDescent="0.35">
      <c r="A607" s="1" t="s">
        <v>2368</v>
      </c>
      <c r="B607" s="1" t="s">
        <v>2369</v>
      </c>
      <c r="C607" s="1" t="s">
        <v>2370</v>
      </c>
      <c r="D607" s="1" t="s">
        <v>135</v>
      </c>
      <c r="E607" s="1" t="s">
        <v>32</v>
      </c>
      <c r="F607" s="1" t="s">
        <v>2371</v>
      </c>
      <c r="G607" s="1" t="s">
        <v>126</v>
      </c>
      <c r="H607" s="1" t="s">
        <v>42</v>
      </c>
      <c r="I607" s="1" t="s">
        <v>21</v>
      </c>
      <c r="J607" s="1" t="s">
        <v>79</v>
      </c>
      <c r="K607">
        <v>0</v>
      </c>
      <c r="L607">
        <v>4669</v>
      </c>
      <c r="M607">
        <v>0</v>
      </c>
    </row>
    <row r="608" spans="1:13" x14ac:dyDescent="0.35">
      <c r="A608" s="1" t="s">
        <v>2372</v>
      </c>
      <c r="B608" s="1" t="s">
        <v>1124</v>
      </c>
      <c r="C608" s="1" t="s">
        <v>2373</v>
      </c>
      <c r="D608" s="1" t="s">
        <v>58</v>
      </c>
      <c r="E608" s="1" t="s">
        <v>39</v>
      </c>
      <c r="F608" s="1" t="s">
        <v>2374</v>
      </c>
      <c r="G608" s="1" t="s">
        <v>105</v>
      </c>
      <c r="H608" s="1" t="s">
        <v>60</v>
      </c>
      <c r="I608" s="1" t="s">
        <v>21</v>
      </c>
      <c r="J608" s="1" t="s">
        <v>21</v>
      </c>
      <c r="K608">
        <v>7500</v>
      </c>
      <c r="L608">
        <v>850</v>
      </c>
      <c r="M608">
        <v>0</v>
      </c>
    </row>
    <row r="609" spans="1:13" x14ac:dyDescent="0.35">
      <c r="A609" s="1" t="s">
        <v>2375</v>
      </c>
      <c r="B609" s="1" t="s">
        <v>2376</v>
      </c>
      <c r="C609" s="1" t="s">
        <v>2377</v>
      </c>
      <c r="D609" s="1" t="s">
        <v>31</v>
      </c>
      <c r="E609" s="1" t="s">
        <v>32</v>
      </c>
      <c r="F609" s="1" t="s">
        <v>2378</v>
      </c>
      <c r="G609" s="1" t="s">
        <v>19</v>
      </c>
      <c r="H609" s="1" t="s">
        <v>42</v>
      </c>
      <c r="I609" s="1" t="s">
        <v>21</v>
      </c>
      <c r="J609" s="1" t="s">
        <v>21</v>
      </c>
      <c r="K609">
        <v>0</v>
      </c>
      <c r="L609">
        <v>2222</v>
      </c>
      <c r="M609">
        <v>0</v>
      </c>
    </row>
    <row r="610" spans="1:13" x14ac:dyDescent="0.35">
      <c r="A610" s="1" t="s">
        <v>2379</v>
      </c>
      <c r="B610" s="1" t="s">
        <v>2380</v>
      </c>
      <c r="C610" s="1" t="s">
        <v>2381</v>
      </c>
      <c r="D610" s="1" t="s">
        <v>110</v>
      </c>
      <c r="E610" s="1" t="s">
        <v>39</v>
      </c>
      <c r="F610" s="1" t="s">
        <v>2382</v>
      </c>
      <c r="G610" s="1" t="s">
        <v>41</v>
      </c>
      <c r="H610" s="1" t="s">
        <v>77</v>
      </c>
      <c r="I610" s="1" t="s">
        <v>21</v>
      </c>
      <c r="J610" s="1" t="s">
        <v>21</v>
      </c>
      <c r="K610">
        <v>7500</v>
      </c>
      <c r="L610">
        <v>2122</v>
      </c>
      <c r="M610">
        <v>1</v>
      </c>
    </row>
    <row r="611" spans="1:13" x14ac:dyDescent="0.35">
      <c r="A611" s="1" t="s">
        <v>2383</v>
      </c>
      <c r="B611" s="1" t="s">
        <v>2384</v>
      </c>
      <c r="C611" s="1" t="s">
        <v>2385</v>
      </c>
      <c r="D611" s="1" t="s">
        <v>58</v>
      </c>
      <c r="E611" s="1" t="s">
        <v>32</v>
      </c>
      <c r="F611" s="1" t="s">
        <v>2386</v>
      </c>
      <c r="G611" s="1" t="s">
        <v>126</v>
      </c>
      <c r="H611" s="1" t="s">
        <v>96</v>
      </c>
      <c r="I611" s="1" t="s">
        <v>21</v>
      </c>
      <c r="J611" s="1" t="s">
        <v>21</v>
      </c>
      <c r="K611">
        <v>0</v>
      </c>
      <c r="L611">
        <v>1212</v>
      </c>
      <c r="M611">
        <v>0</v>
      </c>
    </row>
    <row r="612" spans="1:13" x14ac:dyDescent="0.35">
      <c r="A612" s="1" t="s">
        <v>2387</v>
      </c>
      <c r="B612" s="1" t="s">
        <v>266</v>
      </c>
      <c r="C612" s="1" t="s">
        <v>2388</v>
      </c>
      <c r="D612" s="1" t="s">
        <v>16</v>
      </c>
      <c r="E612" s="1" t="s">
        <v>17</v>
      </c>
      <c r="F612" s="1" t="s">
        <v>2389</v>
      </c>
      <c r="G612" s="1" t="s">
        <v>41</v>
      </c>
      <c r="H612" s="1" t="s">
        <v>96</v>
      </c>
      <c r="I612" s="1" t="s">
        <v>21</v>
      </c>
      <c r="J612" s="1" t="s">
        <v>21</v>
      </c>
      <c r="K612">
        <v>2500</v>
      </c>
      <c r="L612">
        <v>1175</v>
      </c>
      <c r="M612">
        <v>0</v>
      </c>
    </row>
    <row r="613" spans="1:13" x14ac:dyDescent="0.35">
      <c r="A613" s="1" t="s">
        <v>2390</v>
      </c>
      <c r="B613" s="1" t="s">
        <v>749</v>
      </c>
      <c r="C613" s="1" t="s">
        <v>2391</v>
      </c>
      <c r="D613" s="1" t="s">
        <v>58</v>
      </c>
      <c r="E613" s="1" t="s">
        <v>39</v>
      </c>
      <c r="F613" s="1" t="s">
        <v>2392</v>
      </c>
      <c r="G613" s="1" t="s">
        <v>48</v>
      </c>
      <c r="H613" s="1" t="s">
        <v>106</v>
      </c>
      <c r="I613" s="1" t="s">
        <v>21</v>
      </c>
      <c r="J613" s="1" t="s">
        <v>21</v>
      </c>
      <c r="K613">
        <v>7500</v>
      </c>
      <c r="L613">
        <v>1413</v>
      </c>
      <c r="M613">
        <v>0</v>
      </c>
    </row>
    <row r="614" spans="1:13" x14ac:dyDescent="0.35">
      <c r="A614" s="1" t="s">
        <v>2393</v>
      </c>
      <c r="B614" s="1" t="s">
        <v>938</v>
      </c>
      <c r="C614" s="1" t="s">
        <v>2394</v>
      </c>
      <c r="D614" s="1" t="s">
        <v>167</v>
      </c>
      <c r="E614" s="1" t="s">
        <v>52</v>
      </c>
      <c r="F614" s="1" t="s">
        <v>2395</v>
      </c>
      <c r="G614" s="1" t="s">
        <v>48</v>
      </c>
      <c r="H614" s="1" t="s">
        <v>42</v>
      </c>
      <c r="I614" s="1" t="s">
        <v>131</v>
      </c>
      <c r="J614" s="1" t="s">
        <v>21</v>
      </c>
      <c r="K614">
        <v>6500</v>
      </c>
      <c r="L614">
        <v>3892</v>
      </c>
      <c r="M614">
        <v>1</v>
      </c>
    </row>
    <row r="615" spans="1:13" x14ac:dyDescent="0.35">
      <c r="A615" s="1" t="s">
        <v>2396</v>
      </c>
      <c r="B615" s="1" t="s">
        <v>2397</v>
      </c>
      <c r="C615" s="1" t="s">
        <v>2398</v>
      </c>
      <c r="D615" s="1" t="s">
        <v>546</v>
      </c>
      <c r="E615" s="1" t="s">
        <v>17</v>
      </c>
      <c r="F615" s="1" t="s">
        <v>2399</v>
      </c>
      <c r="G615" s="1" t="s">
        <v>126</v>
      </c>
      <c r="H615" s="1" t="s">
        <v>42</v>
      </c>
      <c r="I615" s="1" t="s">
        <v>21</v>
      </c>
      <c r="J615" s="1" t="s">
        <v>79</v>
      </c>
      <c r="K615">
        <v>2500</v>
      </c>
      <c r="L615">
        <v>3354</v>
      </c>
      <c r="M615">
        <v>0</v>
      </c>
    </row>
    <row r="616" spans="1:13" x14ac:dyDescent="0.35">
      <c r="A616" s="1" t="s">
        <v>2400</v>
      </c>
      <c r="B616" s="1" t="s">
        <v>797</v>
      </c>
      <c r="C616" s="1" t="s">
        <v>2401</v>
      </c>
      <c r="D616" s="1" t="s">
        <v>16</v>
      </c>
      <c r="E616" s="1" t="s">
        <v>39</v>
      </c>
      <c r="F616" s="1" t="s">
        <v>2402</v>
      </c>
      <c r="G616" s="1" t="s">
        <v>195</v>
      </c>
      <c r="H616" s="1" t="s">
        <v>42</v>
      </c>
      <c r="I616" s="1" t="s">
        <v>21</v>
      </c>
      <c r="J616" s="1" t="s">
        <v>21</v>
      </c>
      <c r="K616">
        <v>7500</v>
      </c>
      <c r="L616">
        <v>2612</v>
      </c>
      <c r="M616">
        <v>0</v>
      </c>
    </row>
    <row r="617" spans="1:13" x14ac:dyDescent="0.35">
      <c r="A617" s="1" t="s">
        <v>2403</v>
      </c>
      <c r="B617" s="1" t="s">
        <v>1284</v>
      </c>
      <c r="C617" s="1" t="s">
        <v>2404</v>
      </c>
      <c r="D617" s="1" t="s">
        <v>75</v>
      </c>
      <c r="E617" s="1" t="s">
        <v>32</v>
      </c>
      <c r="F617" s="1" t="s">
        <v>2405</v>
      </c>
      <c r="G617" s="1" t="s">
        <v>126</v>
      </c>
      <c r="H617" s="1" t="s">
        <v>20</v>
      </c>
      <c r="I617" s="1" t="s">
        <v>21</v>
      </c>
      <c r="J617" s="1" t="s">
        <v>71</v>
      </c>
      <c r="K617">
        <v>0</v>
      </c>
      <c r="L617">
        <v>2263</v>
      </c>
      <c r="M617">
        <v>0</v>
      </c>
    </row>
    <row r="618" spans="1:13" x14ac:dyDescent="0.35">
      <c r="A618" s="1" t="s">
        <v>2406</v>
      </c>
      <c r="B618" s="1" t="s">
        <v>2407</v>
      </c>
      <c r="C618" s="1" t="s">
        <v>2408</v>
      </c>
      <c r="D618" s="1" t="s">
        <v>58</v>
      </c>
      <c r="E618" s="1" t="s">
        <v>17</v>
      </c>
      <c r="F618" s="1" t="s">
        <v>2409</v>
      </c>
      <c r="G618" s="1" t="s">
        <v>34</v>
      </c>
      <c r="H618" s="1" t="s">
        <v>60</v>
      </c>
      <c r="I618" s="1" t="s">
        <v>21</v>
      </c>
      <c r="J618" s="1" t="s">
        <v>21</v>
      </c>
      <c r="K618">
        <v>2500</v>
      </c>
      <c r="L618">
        <v>2412</v>
      </c>
      <c r="M618">
        <v>0</v>
      </c>
    </row>
    <row r="619" spans="1:13" x14ac:dyDescent="0.35">
      <c r="A619" s="1" t="s">
        <v>2410</v>
      </c>
      <c r="B619" s="1" t="s">
        <v>2411</v>
      </c>
      <c r="C619" s="1" t="s">
        <v>2412</v>
      </c>
      <c r="D619" s="1" t="s">
        <v>135</v>
      </c>
      <c r="E619" s="1" t="s">
        <v>17</v>
      </c>
      <c r="F619" s="1" t="s">
        <v>2413</v>
      </c>
      <c r="G619" s="1" t="s">
        <v>105</v>
      </c>
      <c r="H619" s="1" t="s">
        <v>35</v>
      </c>
      <c r="I619" s="1" t="s">
        <v>21</v>
      </c>
      <c r="J619" s="1" t="s">
        <v>79</v>
      </c>
      <c r="K619">
        <v>2500</v>
      </c>
      <c r="L619">
        <v>1965</v>
      </c>
      <c r="M619">
        <v>0</v>
      </c>
    </row>
    <row r="620" spans="1:13" x14ac:dyDescent="0.35">
      <c r="A620" s="1" t="s">
        <v>2414</v>
      </c>
      <c r="B620" s="1" t="s">
        <v>2415</v>
      </c>
      <c r="C620" s="1" t="s">
        <v>2416</v>
      </c>
      <c r="D620" s="1" t="s">
        <v>93</v>
      </c>
      <c r="E620" s="1" t="s">
        <v>32</v>
      </c>
      <c r="F620" s="1" t="s">
        <v>2417</v>
      </c>
      <c r="G620" s="1" t="s">
        <v>65</v>
      </c>
      <c r="H620" s="1" t="s">
        <v>60</v>
      </c>
      <c r="I620" s="1" t="s">
        <v>21</v>
      </c>
      <c r="J620" s="1" t="s">
        <v>121</v>
      </c>
      <c r="K620">
        <v>0</v>
      </c>
      <c r="L620">
        <v>3268</v>
      </c>
      <c r="M620">
        <v>0</v>
      </c>
    </row>
    <row r="621" spans="1:13" x14ac:dyDescent="0.35">
      <c r="A621" s="1" t="s">
        <v>2418</v>
      </c>
      <c r="B621" s="1" t="s">
        <v>2419</v>
      </c>
      <c r="C621" s="1" t="s">
        <v>2420</v>
      </c>
      <c r="D621" s="1" t="s">
        <v>58</v>
      </c>
      <c r="E621" s="1" t="s">
        <v>17</v>
      </c>
      <c r="F621" s="1" t="s">
        <v>2421</v>
      </c>
      <c r="G621" s="1" t="s">
        <v>41</v>
      </c>
      <c r="H621" s="1" t="s">
        <v>106</v>
      </c>
      <c r="I621" s="1" t="s">
        <v>21</v>
      </c>
      <c r="J621" s="1" t="s">
        <v>21</v>
      </c>
      <c r="K621">
        <v>2500</v>
      </c>
      <c r="L621">
        <v>748</v>
      </c>
      <c r="M621">
        <v>0</v>
      </c>
    </row>
    <row r="622" spans="1:13" x14ac:dyDescent="0.35">
      <c r="A622" s="1" t="s">
        <v>2422</v>
      </c>
      <c r="B622" s="1" t="s">
        <v>2423</v>
      </c>
      <c r="C622" s="1" t="s">
        <v>2424</v>
      </c>
      <c r="D622" s="1" t="s">
        <v>75</v>
      </c>
      <c r="E622" s="1" t="s">
        <v>94</v>
      </c>
      <c r="F622" s="1" t="s">
        <v>2425</v>
      </c>
      <c r="G622" s="1" t="s">
        <v>264</v>
      </c>
      <c r="H622" s="1" t="s">
        <v>54</v>
      </c>
      <c r="I622" s="1" t="s">
        <v>21</v>
      </c>
      <c r="J622" s="1" t="s">
        <v>79</v>
      </c>
      <c r="K622">
        <v>1500</v>
      </c>
      <c r="L622">
        <v>2288</v>
      </c>
      <c r="M622">
        <v>0</v>
      </c>
    </row>
    <row r="623" spans="1:13" x14ac:dyDescent="0.35">
      <c r="A623" s="1" t="s">
        <v>2426</v>
      </c>
      <c r="B623" s="1" t="s">
        <v>2427</v>
      </c>
      <c r="C623" s="1" t="s">
        <v>2428</v>
      </c>
      <c r="D623" s="1" t="s">
        <v>25</v>
      </c>
      <c r="E623" s="1" t="s">
        <v>94</v>
      </c>
      <c r="F623" s="1" t="s">
        <v>2429</v>
      </c>
      <c r="G623" s="1" t="s">
        <v>381</v>
      </c>
      <c r="H623" s="1" t="s">
        <v>106</v>
      </c>
      <c r="I623" s="1" t="s">
        <v>21</v>
      </c>
      <c r="J623" s="1" t="s">
        <v>208</v>
      </c>
      <c r="K623">
        <v>1500</v>
      </c>
      <c r="L623">
        <v>1738</v>
      </c>
      <c r="M623">
        <v>0</v>
      </c>
    </row>
    <row r="624" spans="1:13" x14ac:dyDescent="0.35">
      <c r="A624" s="1" t="s">
        <v>2430</v>
      </c>
      <c r="B624" s="1" t="s">
        <v>2431</v>
      </c>
      <c r="C624" s="1" t="s">
        <v>2432</v>
      </c>
      <c r="D624" s="1" t="s">
        <v>254</v>
      </c>
      <c r="E624" s="1" t="s">
        <v>32</v>
      </c>
      <c r="F624" s="1" t="s">
        <v>2433</v>
      </c>
      <c r="G624" s="1" t="s">
        <v>485</v>
      </c>
      <c r="H624" s="1" t="s">
        <v>42</v>
      </c>
      <c r="I624" s="1" t="s">
        <v>21</v>
      </c>
      <c r="J624" s="1" t="s">
        <v>121</v>
      </c>
      <c r="K624">
        <v>0</v>
      </c>
      <c r="L624">
        <v>1409</v>
      </c>
      <c r="M624">
        <v>0</v>
      </c>
    </row>
    <row r="625" spans="1:13" x14ac:dyDescent="0.35">
      <c r="A625" s="1" t="s">
        <v>2434</v>
      </c>
      <c r="B625" s="1" t="s">
        <v>1373</v>
      </c>
      <c r="C625" s="1" t="s">
        <v>2435</v>
      </c>
      <c r="D625" s="1" t="s">
        <v>254</v>
      </c>
      <c r="E625" s="1" t="s">
        <v>52</v>
      </c>
      <c r="F625" s="1" t="s">
        <v>2436</v>
      </c>
      <c r="G625" s="1" t="s">
        <v>264</v>
      </c>
      <c r="H625" s="1" t="s">
        <v>96</v>
      </c>
      <c r="I625" s="1" t="s">
        <v>78</v>
      </c>
      <c r="J625" s="1" t="s">
        <v>79</v>
      </c>
      <c r="K625">
        <v>6500</v>
      </c>
      <c r="L625">
        <v>2608</v>
      </c>
      <c r="M625">
        <v>0</v>
      </c>
    </row>
    <row r="626" spans="1:13" x14ac:dyDescent="0.35">
      <c r="A626" s="1" t="s">
        <v>2437</v>
      </c>
      <c r="B626" s="1" t="s">
        <v>2438</v>
      </c>
      <c r="C626" s="1" t="s">
        <v>2439</v>
      </c>
      <c r="D626" s="1" t="s">
        <v>546</v>
      </c>
      <c r="E626" s="1" t="s">
        <v>17</v>
      </c>
      <c r="F626" s="1" t="s">
        <v>2440</v>
      </c>
      <c r="G626" s="1" t="s">
        <v>41</v>
      </c>
      <c r="H626" s="1" t="s">
        <v>54</v>
      </c>
      <c r="I626" s="1" t="s">
        <v>21</v>
      </c>
      <c r="J626" s="1" t="s">
        <v>79</v>
      </c>
      <c r="K626">
        <v>2500</v>
      </c>
      <c r="L626">
        <v>2007</v>
      </c>
      <c r="M626">
        <v>0</v>
      </c>
    </row>
    <row r="627" spans="1:13" x14ac:dyDescent="0.35">
      <c r="A627" s="1" t="s">
        <v>2441</v>
      </c>
      <c r="B627" s="1" t="s">
        <v>2442</v>
      </c>
      <c r="C627" s="1" t="s">
        <v>2443</v>
      </c>
      <c r="D627" s="1" t="s">
        <v>93</v>
      </c>
      <c r="E627" s="1" t="s">
        <v>52</v>
      </c>
      <c r="F627" s="1" t="s">
        <v>2444</v>
      </c>
      <c r="G627" s="1" t="s">
        <v>41</v>
      </c>
      <c r="H627" s="1" t="s">
        <v>20</v>
      </c>
      <c r="I627" s="1" t="s">
        <v>21</v>
      </c>
      <c r="J627" s="1" t="s">
        <v>21</v>
      </c>
      <c r="K627">
        <v>6500</v>
      </c>
      <c r="L627">
        <v>4799</v>
      </c>
      <c r="M627">
        <v>0</v>
      </c>
    </row>
    <row r="628" spans="1:13" x14ac:dyDescent="0.35">
      <c r="A628" s="1" t="s">
        <v>2445</v>
      </c>
      <c r="B628" s="1" t="s">
        <v>2446</v>
      </c>
      <c r="C628" s="1" t="s">
        <v>2447</v>
      </c>
      <c r="D628" s="1" t="s">
        <v>58</v>
      </c>
      <c r="E628" s="1" t="s">
        <v>17</v>
      </c>
      <c r="F628" s="1" t="s">
        <v>2448</v>
      </c>
      <c r="G628" s="1" t="s">
        <v>126</v>
      </c>
      <c r="H628" s="1" t="s">
        <v>77</v>
      </c>
      <c r="I628" s="1" t="s">
        <v>21</v>
      </c>
      <c r="J628" s="1" t="s">
        <v>21</v>
      </c>
      <c r="K628">
        <v>2500</v>
      </c>
      <c r="L628">
        <v>4654</v>
      </c>
      <c r="M628">
        <v>0</v>
      </c>
    </row>
    <row r="629" spans="1:13" x14ac:dyDescent="0.35">
      <c r="A629" s="1" t="s">
        <v>2449</v>
      </c>
      <c r="B629" s="1" t="s">
        <v>2450</v>
      </c>
      <c r="C629" s="1" t="s">
        <v>2451</v>
      </c>
      <c r="D629" s="1" t="s">
        <v>25</v>
      </c>
      <c r="E629" s="1" t="s">
        <v>39</v>
      </c>
      <c r="F629" s="1" t="s">
        <v>2452</v>
      </c>
      <c r="G629" s="1" t="s">
        <v>126</v>
      </c>
      <c r="H629" s="1" t="s">
        <v>96</v>
      </c>
      <c r="I629" s="1" t="s">
        <v>21</v>
      </c>
      <c r="J629" s="1" t="s">
        <v>21</v>
      </c>
      <c r="K629">
        <v>7500</v>
      </c>
      <c r="L629">
        <v>52235</v>
      </c>
      <c r="M629">
        <v>0</v>
      </c>
    </row>
    <row r="630" spans="1:13" x14ac:dyDescent="0.35">
      <c r="A630" s="1" t="s">
        <v>2453</v>
      </c>
      <c r="B630" s="1" t="s">
        <v>2454</v>
      </c>
      <c r="C630" s="1" t="s">
        <v>566</v>
      </c>
      <c r="D630" s="1" t="s">
        <v>110</v>
      </c>
      <c r="E630" s="1" t="s">
        <v>17</v>
      </c>
      <c r="F630" s="1" t="s">
        <v>2455</v>
      </c>
      <c r="G630" s="1" t="s">
        <v>65</v>
      </c>
      <c r="H630" s="1" t="s">
        <v>35</v>
      </c>
      <c r="I630" s="1" t="s">
        <v>21</v>
      </c>
      <c r="J630" s="1" t="s">
        <v>21</v>
      </c>
      <c r="K630">
        <v>2500</v>
      </c>
      <c r="L630">
        <v>3157</v>
      </c>
      <c r="M630">
        <v>0</v>
      </c>
    </row>
    <row r="631" spans="1:13" x14ac:dyDescent="0.35">
      <c r="A631" s="1" t="s">
        <v>2456</v>
      </c>
      <c r="B631" s="1" t="s">
        <v>2457</v>
      </c>
      <c r="C631" s="1" t="s">
        <v>2458</v>
      </c>
      <c r="D631" s="1" t="s">
        <v>150</v>
      </c>
      <c r="E631" s="1" t="s">
        <v>52</v>
      </c>
      <c r="F631" s="1" t="s">
        <v>2459</v>
      </c>
      <c r="G631" s="1" t="s">
        <v>485</v>
      </c>
      <c r="H631" s="1" t="s">
        <v>20</v>
      </c>
      <c r="I631" s="1" t="s">
        <v>291</v>
      </c>
      <c r="J631" s="1" t="s">
        <v>79</v>
      </c>
      <c r="K631">
        <v>6500</v>
      </c>
      <c r="L631">
        <v>4481</v>
      </c>
      <c r="M631">
        <v>1</v>
      </c>
    </row>
    <row r="632" spans="1:13" x14ac:dyDescent="0.35">
      <c r="A632" s="1" t="s">
        <v>2460</v>
      </c>
      <c r="B632" s="1" t="s">
        <v>2461</v>
      </c>
      <c r="C632" s="1" t="s">
        <v>1571</v>
      </c>
      <c r="D632" s="1" t="s">
        <v>58</v>
      </c>
      <c r="E632" s="1" t="s">
        <v>94</v>
      </c>
      <c r="F632" s="1" t="s">
        <v>2462</v>
      </c>
      <c r="G632" s="1" t="s">
        <v>126</v>
      </c>
      <c r="H632" s="1" t="s">
        <v>77</v>
      </c>
      <c r="I632" s="1" t="s">
        <v>21</v>
      </c>
      <c r="J632" s="1" t="s">
        <v>21</v>
      </c>
      <c r="K632">
        <v>1500</v>
      </c>
      <c r="L632">
        <v>3504</v>
      </c>
      <c r="M632">
        <v>0</v>
      </c>
    </row>
    <row r="633" spans="1:13" x14ac:dyDescent="0.35">
      <c r="A633" s="1" t="s">
        <v>2463</v>
      </c>
      <c r="B633" s="1" t="s">
        <v>2464</v>
      </c>
      <c r="C633" s="1" t="s">
        <v>2465</v>
      </c>
      <c r="D633" s="1" t="s">
        <v>25</v>
      </c>
      <c r="E633" s="1" t="s">
        <v>32</v>
      </c>
      <c r="F633" s="1" t="s">
        <v>2466</v>
      </c>
      <c r="G633" s="1" t="s">
        <v>41</v>
      </c>
      <c r="H633" s="1" t="s">
        <v>106</v>
      </c>
      <c r="I633" s="1" t="s">
        <v>21</v>
      </c>
      <c r="J633" s="1" t="s">
        <v>121</v>
      </c>
      <c r="K633">
        <v>0</v>
      </c>
      <c r="L633">
        <v>1397</v>
      </c>
      <c r="M633">
        <v>0</v>
      </c>
    </row>
    <row r="634" spans="1:13" x14ac:dyDescent="0.35">
      <c r="A634" s="1" t="s">
        <v>2467</v>
      </c>
      <c r="B634" s="1" t="s">
        <v>2468</v>
      </c>
      <c r="C634" s="1" t="s">
        <v>2469</v>
      </c>
      <c r="D634" s="1" t="s">
        <v>16</v>
      </c>
      <c r="E634" s="1" t="s">
        <v>94</v>
      </c>
      <c r="F634" s="1" t="s">
        <v>2470</v>
      </c>
      <c r="G634" s="1" t="s">
        <v>126</v>
      </c>
      <c r="H634" s="1" t="s">
        <v>35</v>
      </c>
      <c r="I634" s="1" t="s">
        <v>21</v>
      </c>
      <c r="J634" s="1" t="s">
        <v>21</v>
      </c>
      <c r="K634">
        <v>1500</v>
      </c>
      <c r="L634">
        <v>4008</v>
      </c>
      <c r="M634">
        <v>0</v>
      </c>
    </row>
    <row r="635" spans="1:13" x14ac:dyDescent="0.35">
      <c r="A635" s="1" t="s">
        <v>2471</v>
      </c>
      <c r="B635" s="1" t="s">
        <v>2472</v>
      </c>
      <c r="C635" s="1" t="s">
        <v>2473</v>
      </c>
      <c r="D635" s="1" t="s">
        <v>75</v>
      </c>
      <c r="E635" s="1" t="s">
        <v>52</v>
      </c>
      <c r="F635" s="1" t="s">
        <v>2474</v>
      </c>
      <c r="G635" s="1" t="s">
        <v>65</v>
      </c>
      <c r="H635" s="1" t="s">
        <v>60</v>
      </c>
      <c r="I635" s="1" t="s">
        <v>112</v>
      </c>
      <c r="J635" s="1" t="s">
        <v>21</v>
      </c>
      <c r="K635">
        <v>6500</v>
      </c>
      <c r="L635">
        <v>4216</v>
      </c>
      <c r="M635">
        <v>0</v>
      </c>
    </row>
    <row r="636" spans="1:13" x14ac:dyDescent="0.35">
      <c r="A636" s="1" t="s">
        <v>2475</v>
      </c>
      <c r="B636" s="1" t="s">
        <v>2476</v>
      </c>
      <c r="C636" s="1" t="s">
        <v>2477</v>
      </c>
      <c r="D636" s="1" t="s">
        <v>16</v>
      </c>
      <c r="E636" s="1" t="s">
        <v>94</v>
      </c>
      <c r="F636" s="1" t="s">
        <v>2478</v>
      </c>
      <c r="G636" s="1" t="s">
        <v>126</v>
      </c>
      <c r="H636" s="1" t="s">
        <v>54</v>
      </c>
      <c r="I636" s="1" t="s">
        <v>21</v>
      </c>
      <c r="J636" s="1" t="s">
        <v>21</v>
      </c>
      <c r="K636">
        <v>1500</v>
      </c>
      <c r="L636">
        <v>1947</v>
      </c>
      <c r="M636">
        <v>0</v>
      </c>
    </row>
    <row r="637" spans="1:13" x14ac:dyDescent="0.35">
      <c r="A637" s="1" t="s">
        <v>2479</v>
      </c>
      <c r="B637" s="1" t="s">
        <v>2480</v>
      </c>
      <c r="C637" s="1" t="s">
        <v>2481</v>
      </c>
      <c r="D637" s="1" t="s">
        <v>31</v>
      </c>
      <c r="E637" s="1" t="s">
        <v>39</v>
      </c>
      <c r="F637" s="1" t="s">
        <v>2482</v>
      </c>
      <c r="G637" s="1" t="s">
        <v>195</v>
      </c>
      <c r="H637" s="1" t="s">
        <v>35</v>
      </c>
      <c r="I637" s="1" t="s">
        <v>21</v>
      </c>
      <c r="J637" s="1" t="s">
        <v>21</v>
      </c>
      <c r="K637">
        <v>7500</v>
      </c>
      <c r="L637">
        <v>2492</v>
      </c>
      <c r="M637">
        <v>0</v>
      </c>
    </row>
    <row r="638" spans="1:13" x14ac:dyDescent="0.35">
      <c r="A638" s="1" t="s">
        <v>2483</v>
      </c>
      <c r="B638" s="1" t="s">
        <v>2484</v>
      </c>
      <c r="C638" s="1" t="s">
        <v>2485</v>
      </c>
      <c r="D638" s="1" t="s">
        <v>58</v>
      </c>
      <c r="E638" s="1" t="s">
        <v>52</v>
      </c>
      <c r="F638" s="1" t="s">
        <v>2486</v>
      </c>
      <c r="G638" s="1" t="s">
        <v>41</v>
      </c>
      <c r="H638" s="1" t="s">
        <v>106</v>
      </c>
      <c r="I638" s="1" t="s">
        <v>21</v>
      </c>
      <c r="J638" s="1" t="s">
        <v>21</v>
      </c>
      <c r="K638">
        <v>6500</v>
      </c>
      <c r="L638">
        <v>4862</v>
      </c>
      <c r="M638">
        <v>0</v>
      </c>
    </row>
    <row r="639" spans="1:13" x14ac:dyDescent="0.35">
      <c r="A639" s="1" t="s">
        <v>2487</v>
      </c>
      <c r="B639" s="1" t="s">
        <v>2488</v>
      </c>
      <c r="C639" s="1" t="s">
        <v>2489</v>
      </c>
      <c r="D639" s="1" t="s">
        <v>25</v>
      </c>
      <c r="E639" s="1" t="s">
        <v>32</v>
      </c>
      <c r="F639" s="1" t="s">
        <v>2490</v>
      </c>
      <c r="G639" s="1" t="s">
        <v>264</v>
      </c>
      <c r="H639" s="1" t="s">
        <v>60</v>
      </c>
      <c r="I639" s="1" t="s">
        <v>21</v>
      </c>
      <c r="J639" s="1" t="s">
        <v>79</v>
      </c>
      <c r="K639">
        <v>0</v>
      </c>
      <c r="L639">
        <v>232</v>
      </c>
      <c r="M639">
        <v>0</v>
      </c>
    </row>
    <row r="640" spans="1:13" x14ac:dyDescent="0.35">
      <c r="A640" s="1" t="s">
        <v>2491</v>
      </c>
      <c r="B640" s="1" t="s">
        <v>2492</v>
      </c>
      <c r="C640" s="1" t="s">
        <v>2493</v>
      </c>
      <c r="D640" s="1" t="s">
        <v>25</v>
      </c>
      <c r="E640" s="1" t="s">
        <v>17</v>
      </c>
      <c r="F640" s="1" t="s">
        <v>2494</v>
      </c>
      <c r="G640" s="1" t="s">
        <v>65</v>
      </c>
      <c r="H640" s="1" t="s">
        <v>96</v>
      </c>
      <c r="I640" s="1" t="s">
        <v>21</v>
      </c>
      <c r="J640" s="1" t="s">
        <v>79</v>
      </c>
      <c r="K640">
        <v>2500</v>
      </c>
      <c r="L640">
        <v>88395</v>
      </c>
      <c r="M640">
        <v>0</v>
      </c>
    </row>
    <row r="641" spans="1:13" x14ac:dyDescent="0.35">
      <c r="A641" s="1" t="s">
        <v>2495</v>
      </c>
      <c r="B641" s="1" t="s">
        <v>2496</v>
      </c>
      <c r="C641" s="1" t="s">
        <v>2497</v>
      </c>
      <c r="D641" s="1" t="s">
        <v>16</v>
      </c>
      <c r="E641" s="1" t="s">
        <v>32</v>
      </c>
      <c r="F641" s="1" t="s">
        <v>2498</v>
      </c>
      <c r="G641" s="1" t="s">
        <v>41</v>
      </c>
      <c r="H641" s="1" t="s">
        <v>54</v>
      </c>
      <c r="I641" s="1" t="s">
        <v>21</v>
      </c>
      <c r="J641" s="1" t="s">
        <v>21</v>
      </c>
      <c r="K641">
        <v>0</v>
      </c>
      <c r="L641">
        <v>3672</v>
      </c>
      <c r="M641">
        <v>0</v>
      </c>
    </row>
    <row r="642" spans="1:13" x14ac:dyDescent="0.35">
      <c r="A642" s="1" t="s">
        <v>2499</v>
      </c>
      <c r="B642" s="1" t="s">
        <v>2500</v>
      </c>
      <c r="C642" s="1" t="s">
        <v>2501</v>
      </c>
      <c r="D642" s="1" t="s">
        <v>93</v>
      </c>
      <c r="E642" s="1" t="s">
        <v>32</v>
      </c>
      <c r="F642" s="1" t="s">
        <v>2502</v>
      </c>
      <c r="G642" s="1" t="s">
        <v>65</v>
      </c>
      <c r="H642" s="1" t="s">
        <v>54</v>
      </c>
      <c r="I642" s="1" t="s">
        <v>21</v>
      </c>
      <c r="J642" s="1" t="s">
        <v>71</v>
      </c>
      <c r="K642">
        <v>0</v>
      </c>
      <c r="L642">
        <v>2888</v>
      </c>
      <c r="M642">
        <v>0</v>
      </c>
    </row>
    <row r="643" spans="1:13" x14ac:dyDescent="0.35">
      <c r="A643" s="1" t="s">
        <v>2503</v>
      </c>
      <c r="B643" s="1" t="s">
        <v>2504</v>
      </c>
      <c r="C643" s="1" t="s">
        <v>2505</v>
      </c>
      <c r="D643" s="1" t="s">
        <v>25</v>
      </c>
      <c r="E643" s="1" t="s">
        <v>17</v>
      </c>
      <c r="F643" s="1" t="s">
        <v>2506</v>
      </c>
      <c r="G643" s="1" t="s">
        <v>34</v>
      </c>
      <c r="H643" s="1" t="s">
        <v>20</v>
      </c>
      <c r="I643" s="1" t="s">
        <v>21</v>
      </c>
      <c r="J643" s="1" t="s">
        <v>21</v>
      </c>
      <c r="K643">
        <v>2500</v>
      </c>
      <c r="L643">
        <v>3243</v>
      </c>
      <c r="M643">
        <v>0</v>
      </c>
    </row>
    <row r="644" spans="1:13" x14ac:dyDescent="0.35">
      <c r="A644" s="1" t="s">
        <v>2507</v>
      </c>
      <c r="B644" s="1" t="s">
        <v>2508</v>
      </c>
      <c r="C644" s="1" t="s">
        <v>2509</v>
      </c>
      <c r="D644" s="1" t="s">
        <v>25</v>
      </c>
      <c r="E644" s="1" t="s">
        <v>32</v>
      </c>
      <c r="F644" s="1" t="s">
        <v>2510</v>
      </c>
      <c r="G644" s="1" t="s">
        <v>65</v>
      </c>
      <c r="H644" s="1" t="s">
        <v>77</v>
      </c>
      <c r="I644" s="1" t="s">
        <v>21</v>
      </c>
      <c r="J644" s="1" t="s">
        <v>121</v>
      </c>
      <c r="K644">
        <v>0</v>
      </c>
      <c r="L644">
        <v>4616</v>
      </c>
      <c r="M644">
        <v>0</v>
      </c>
    </row>
    <row r="645" spans="1:13" x14ac:dyDescent="0.35">
      <c r="A645" s="1" t="s">
        <v>2511</v>
      </c>
      <c r="B645" s="1" t="s">
        <v>1684</v>
      </c>
      <c r="C645" s="1" t="s">
        <v>2512</v>
      </c>
      <c r="D645" s="1" t="s">
        <v>58</v>
      </c>
      <c r="E645" s="1" t="s">
        <v>52</v>
      </c>
      <c r="F645" s="1" t="s">
        <v>2513</v>
      </c>
      <c r="G645" s="1" t="s">
        <v>126</v>
      </c>
      <c r="H645" s="1" t="s">
        <v>42</v>
      </c>
      <c r="I645" s="1" t="s">
        <v>112</v>
      </c>
      <c r="J645" s="1" t="s">
        <v>21</v>
      </c>
      <c r="K645">
        <v>6500</v>
      </c>
      <c r="L645">
        <v>1334</v>
      </c>
      <c r="M645">
        <v>0</v>
      </c>
    </row>
    <row r="646" spans="1:13" x14ac:dyDescent="0.35">
      <c r="A646" s="1" t="s">
        <v>2514</v>
      </c>
      <c r="B646" s="1" t="s">
        <v>2515</v>
      </c>
      <c r="C646" s="1" t="s">
        <v>2516</v>
      </c>
      <c r="D646" s="1" t="s">
        <v>58</v>
      </c>
      <c r="E646" s="1" t="s">
        <v>39</v>
      </c>
      <c r="F646" s="1" t="s">
        <v>2517</v>
      </c>
      <c r="G646" s="1" t="s">
        <v>41</v>
      </c>
      <c r="H646" s="1" t="s">
        <v>54</v>
      </c>
      <c r="I646" s="1" t="s">
        <v>21</v>
      </c>
      <c r="J646" s="1" t="s">
        <v>21</v>
      </c>
      <c r="K646">
        <v>7500</v>
      </c>
      <c r="L646">
        <v>4185</v>
      </c>
      <c r="M646">
        <v>0</v>
      </c>
    </row>
    <row r="647" spans="1:13" x14ac:dyDescent="0.35">
      <c r="A647" s="1" t="s">
        <v>2518</v>
      </c>
      <c r="B647" s="1" t="s">
        <v>2519</v>
      </c>
      <c r="C647" s="1" t="s">
        <v>2520</v>
      </c>
      <c r="D647" s="1" t="s">
        <v>16</v>
      </c>
      <c r="E647" s="1" t="s">
        <v>94</v>
      </c>
      <c r="F647" s="1" t="s">
        <v>2521</v>
      </c>
      <c r="G647" s="1" t="s">
        <v>126</v>
      </c>
      <c r="H647" s="1" t="s">
        <v>35</v>
      </c>
      <c r="I647" s="1" t="s">
        <v>21</v>
      </c>
      <c r="J647" s="1" t="s">
        <v>21</v>
      </c>
      <c r="K647">
        <v>1500</v>
      </c>
      <c r="L647">
        <v>4049</v>
      </c>
      <c r="M647">
        <v>0</v>
      </c>
    </row>
    <row r="648" spans="1:13" x14ac:dyDescent="0.35">
      <c r="A648" s="1" t="s">
        <v>2522</v>
      </c>
      <c r="B648" s="1" t="s">
        <v>2523</v>
      </c>
      <c r="C648" s="1" t="s">
        <v>2524</v>
      </c>
      <c r="D648" s="1" t="s">
        <v>93</v>
      </c>
      <c r="E648" s="1" t="s">
        <v>39</v>
      </c>
      <c r="F648" s="1" t="s">
        <v>2525</v>
      </c>
      <c r="G648" s="1" t="s">
        <v>65</v>
      </c>
      <c r="H648" s="1" t="s">
        <v>77</v>
      </c>
      <c r="I648" s="1" t="s">
        <v>21</v>
      </c>
      <c r="J648" s="1" t="s">
        <v>121</v>
      </c>
      <c r="K648">
        <v>7500</v>
      </c>
      <c r="L648">
        <v>1343</v>
      </c>
      <c r="M648">
        <v>0</v>
      </c>
    </row>
    <row r="649" spans="1:13" x14ac:dyDescent="0.35">
      <c r="A649" s="1" t="s">
        <v>2526</v>
      </c>
      <c r="B649" s="1" t="s">
        <v>2508</v>
      </c>
      <c r="C649" s="1" t="s">
        <v>2527</v>
      </c>
      <c r="D649" s="1" t="s">
        <v>16</v>
      </c>
      <c r="E649" s="1" t="s">
        <v>52</v>
      </c>
      <c r="F649" s="1" t="s">
        <v>2528</v>
      </c>
      <c r="G649" s="1" t="s">
        <v>65</v>
      </c>
      <c r="H649" s="1" t="s">
        <v>42</v>
      </c>
      <c r="I649" s="1" t="s">
        <v>78</v>
      </c>
      <c r="J649" s="1" t="s">
        <v>21</v>
      </c>
      <c r="K649">
        <v>6500</v>
      </c>
      <c r="L649">
        <v>2085</v>
      </c>
      <c r="M649">
        <v>0</v>
      </c>
    </row>
    <row r="650" spans="1:13" x14ac:dyDescent="0.35">
      <c r="A650" s="1" t="s">
        <v>2529</v>
      </c>
      <c r="B650" s="1" t="s">
        <v>2530</v>
      </c>
      <c r="C650" s="1" t="s">
        <v>2531</v>
      </c>
      <c r="D650" s="1" t="s">
        <v>58</v>
      </c>
      <c r="E650" s="1" t="s">
        <v>94</v>
      </c>
      <c r="F650" s="1" t="s">
        <v>2532</v>
      </c>
      <c r="G650" s="1" t="s">
        <v>105</v>
      </c>
      <c r="H650" s="1" t="s">
        <v>60</v>
      </c>
      <c r="I650" s="1" t="s">
        <v>21</v>
      </c>
      <c r="J650" s="1" t="s">
        <v>21</v>
      </c>
      <c r="K650">
        <v>1500</v>
      </c>
      <c r="L650">
        <v>1967</v>
      </c>
      <c r="M650">
        <v>0</v>
      </c>
    </row>
    <row r="651" spans="1:13" x14ac:dyDescent="0.35">
      <c r="A651" s="1" t="s">
        <v>2533</v>
      </c>
      <c r="B651" s="1" t="s">
        <v>2534</v>
      </c>
      <c r="C651" s="1" t="s">
        <v>2535</v>
      </c>
      <c r="D651" s="1" t="s">
        <v>16</v>
      </c>
      <c r="E651" s="1" t="s">
        <v>94</v>
      </c>
      <c r="F651" s="1" t="s">
        <v>2536</v>
      </c>
      <c r="G651" s="1" t="s">
        <v>65</v>
      </c>
      <c r="H651" s="1" t="s">
        <v>42</v>
      </c>
      <c r="I651" s="1" t="s">
        <v>21</v>
      </c>
      <c r="J651" s="1" t="s">
        <v>21</v>
      </c>
      <c r="K651">
        <v>1500</v>
      </c>
      <c r="L651">
        <v>1244</v>
      </c>
      <c r="M651">
        <v>0</v>
      </c>
    </row>
    <row r="652" spans="1:13" x14ac:dyDescent="0.35">
      <c r="A652" s="1" t="s">
        <v>2537</v>
      </c>
      <c r="B652" s="1" t="s">
        <v>2538</v>
      </c>
      <c r="C652" s="1" t="s">
        <v>2539</v>
      </c>
      <c r="D652" s="1" t="s">
        <v>58</v>
      </c>
      <c r="E652" s="1" t="s">
        <v>17</v>
      </c>
      <c r="F652" s="1" t="s">
        <v>2540</v>
      </c>
      <c r="G652" s="1" t="s">
        <v>65</v>
      </c>
      <c r="H652" s="1" t="s">
        <v>42</v>
      </c>
      <c r="I652" s="1" t="s">
        <v>21</v>
      </c>
      <c r="J652" s="1" t="s">
        <v>21</v>
      </c>
      <c r="K652">
        <v>2500</v>
      </c>
      <c r="L652">
        <v>743</v>
      </c>
      <c r="M652">
        <v>1</v>
      </c>
    </row>
    <row r="653" spans="1:13" x14ac:dyDescent="0.35">
      <c r="A653" s="1" t="s">
        <v>2541</v>
      </c>
      <c r="B653" s="1" t="s">
        <v>2542</v>
      </c>
      <c r="C653" s="1" t="s">
        <v>2543</v>
      </c>
      <c r="D653" s="1" t="s">
        <v>110</v>
      </c>
      <c r="E653" s="1" t="s">
        <v>32</v>
      </c>
      <c r="F653" s="1" t="s">
        <v>2544</v>
      </c>
      <c r="G653" s="1" t="s">
        <v>485</v>
      </c>
      <c r="H653" s="1" t="s">
        <v>20</v>
      </c>
      <c r="I653" s="1" t="s">
        <v>21</v>
      </c>
      <c r="J653" s="1" t="s">
        <v>21</v>
      </c>
      <c r="K653">
        <v>0</v>
      </c>
      <c r="L653">
        <v>3437</v>
      </c>
      <c r="M653">
        <v>0</v>
      </c>
    </row>
    <row r="654" spans="1:13" x14ac:dyDescent="0.35">
      <c r="A654" s="1" t="s">
        <v>2545</v>
      </c>
      <c r="B654" s="1" t="s">
        <v>2057</v>
      </c>
      <c r="C654" s="1" t="s">
        <v>2546</v>
      </c>
      <c r="D654" s="1" t="s">
        <v>25</v>
      </c>
      <c r="E654" s="1" t="s">
        <v>32</v>
      </c>
      <c r="F654" s="1" t="s">
        <v>2547</v>
      </c>
      <c r="G654" s="1" t="s">
        <v>264</v>
      </c>
      <c r="H654" s="1" t="s">
        <v>77</v>
      </c>
      <c r="I654" s="1" t="s">
        <v>21</v>
      </c>
      <c r="J654" s="1" t="s">
        <v>208</v>
      </c>
      <c r="K654">
        <v>0</v>
      </c>
      <c r="L654">
        <v>4700</v>
      </c>
      <c r="M654">
        <v>0</v>
      </c>
    </row>
    <row r="655" spans="1:13" x14ac:dyDescent="0.35">
      <c r="A655" s="1" t="s">
        <v>2548</v>
      </c>
      <c r="B655" s="1" t="s">
        <v>2549</v>
      </c>
      <c r="C655" s="1" t="s">
        <v>2550</v>
      </c>
      <c r="D655" s="1" t="s">
        <v>167</v>
      </c>
      <c r="E655" s="1" t="s">
        <v>52</v>
      </c>
      <c r="F655" s="1" t="s">
        <v>2551</v>
      </c>
      <c r="G655" s="1" t="s">
        <v>41</v>
      </c>
      <c r="H655" s="1" t="s">
        <v>54</v>
      </c>
      <c r="I655" s="1" t="s">
        <v>138</v>
      </c>
      <c r="J655" s="1" t="s">
        <v>21</v>
      </c>
      <c r="K655">
        <v>6500</v>
      </c>
      <c r="L655">
        <v>82810</v>
      </c>
      <c r="M655">
        <v>0</v>
      </c>
    </row>
    <row r="656" spans="1:13" x14ac:dyDescent="0.35">
      <c r="A656" s="1" t="s">
        <v>2552</v>
      </c>
      <c r="B656" s="1" t="s">
        <v>2553</v>
      </c>
      <c r="C656" s="1" t="s">
        <v>2554</v>
      </c>
      <c r="D656" s="1" t="s">
        <v>16</v>
      </c>
      <c r="E656" s="1" t="s">
        <v>32</v>
      </c>
      <c r="F656" s="1" t="s">
        <v>2555</v>
      </c>
      <c r="G656" s="1" t="s">
        <v>41</v>
      </c>
      <c r="H656" s="1" t="s">
        <v>60</v>
      </c>
      <c r="I656" s="1" t="s">
        <v>21</v>
      </c>
      <c r="J656" s="1" t="s">
        <v>21</v>
      </c>
      <c r="K656">
        <v>0</v>
      </c>
      <c r="L656">
        <v>798</v>
      </c>
      <c r="M656">
        <v>0</v>
      </c>
    </row>
    <row r="657" spans="1:13" x14ac:dyDescent="0.35">
      <c r="A657" s="1" t="s">
        <v>2556</v>
      </c>
      <c r="B657" s="1" t="s">
        <v>2557</v>
      </c>
      <c r="C657" s="1" t="s">
        <v>2558</v>
      </c>
      <c r="D657" s="1" t="s">
        <v>75</v>
      </c>
      <c r="E657" s="1" t="s">
        <v>32</v>
      </c>
      <c r="F657" s="1" t="s">
        <v>2559</v>
      </c>
      <c r="G657" s="1" t="s">
        <v>126</v>
      </c>
      <c r="H657" s="1" t="s">
        <v>54</v>
      </c>
      <c r="I657" s="1" t="s">
        <v>21</v>
      </c>
      <c r="J657" s="1" t="s">
        <v>71</v>
      </c>
      <c r="K657">
        <v>0</v>
      </c>
      <c r="L657">
        <v>2697</v>
      </c>
      <c r="M657">
        <v>1</v>
      </c>
    </row>
    <row r="658" spans="1:13" x14ac:dyDescent="0.35">
      <c r="A658" s="1" t="s">
        <v>2560</v>
      </c>
      <c r="B658" s="1" t="s">
        <v>2561</v>
      </c>
      <c r="C658" s="1" t="s">
        <v>2562</v>
      </c>
      <c r="D658" s="1" t="s">
        <v>58</v>
      </c>
      <c r="E658" s="1" t="s">
        <v>52</v>
      </c>
      <c r="F658" s="1" t="s">
        <v>2563</v>
      </c>
      <c r="G658" s="1" t="s">
        <v>105</v>
      </c>
      <c r="H658" s="1" t="s">
        <v>60</v>
      </c>
      <c r="I658" s="1" t="s">
        <v>112</v>
      </c>
      <c r="J658" s="1" t="s">
        <v>21</v>
      </c>
      <c r="K658">
        <v>6500</v>
      </c>
      <c r="L658">
        <v>3243</v>
      </c>
      <c r="M658">
        <v>0</v>
      </c>
    </row>
    <row r="659" spans="1:13" x14ac:dyDescent="0.35">
      <c r="A659" s="1" t="s">
        <v>2564</v>
      </c>
      <c r="B659" s="1" t="s">
        <v>2565</v>
      </c>
      <c r="C659" s="1" t="s">
        <v>2566</v>
      </c>
      <c r="D659" s="1" t="s">
        <v>16</v>
      </c>
      <c r="E659" s="1" t="s">
        <v>52</v>
      </c>
      <c r="F659" s="1" t="s">
        <v>2567</v>
      </c>
      <c r="G659" s="1" t="s">
        <v>126</v>
      </c>
      <c r="H659" s="1" t="s">
        <v>106</v>
      </c>
      <c r="I659" s="1" t="s">
        <v>78</v>
      </c>
      <c r="J659" s="1" t="s">
        <v>21</v>
      </c>
      <c r="K659">
        <v>6500</v>
      </c>
      <c r="L659">
        <v>4977</v>
      </c>
      <c r="M659">
        <v>0</v>
      </c>
    </row>
    <row r="660" spans="1:13" x14ac:dyDescent="0.35">
      <c r="A660" s="1" t="s">
        <v>2568</v>
      </c>
      <c r="B660" s="1" t="s">
        <v>2569</v>
      </c>
      <c r="C660" s="1" t="s">
        <v>2570</v>
      </c>
      <c r="D660" s="1" t="s">
        <v>25</v>
      </c>
      <c r="E660" s="1" t="s">
        <v>17</v>
      </c>
      <c r="F660" s="1" t="s">
        <v>2571</v>
      </c>
      <c r="G660" s="1" t="s">
        <v>89</v>
      </c>
      <c r="H660" s="1" t="s">
        <v>20</v>
      </c>
      <c r="I660" s="1" t="s">
        <v>21</v>
      </c>
      <c r="J660" s="1" t="s">
        <v>79</v>
      </c>
      <c r="K660">
        <v>2500</v>
      </c>
      <c r="L660">
        <v>3973</v>
      </c>
      <c r="M660">
        <v>0</v>
      </c>
    </row>
    <row r="661" spans="1:13" x14ac:dyDescent="0.35">
      <c r="A661" s="1" t="s">
        <v>2572</v>
      </c>
      <c r="B661" s="1" t="s">
        <v>2573</v>
      </c>
      <c r="C661" s="1" t="s">
        <v>2574</v>
      </c>
      <c r="D661" s="1" t="s">
        <v>16</v>
      </c>
      <c r="E661" s="1" t="s">
        <v>32</v>
      </c>
      <c r="F661" s="1" t="s">
        <v>2575</v>
      </c>
      <c r="G661" s="1" t="s">
        <v>41</v>
      </c>
      <c r="H661" s="1" t="s">
        <v>54</v>
      </c>
      <c r="I661" s="1" t="s">
        <v>21</v>
      </c>
      <c r="J661" s="1" t="s">
        <v>21</v>
      </c>
      <c r="K661">
        <v>0</v>
      </c>
      <c r="L661">
        <v>3937</v>
      </c>
      <c r="M661">
        <v>0</v>
      </c>
    </row>
    <row r="662" spans="1:13" x14ac:dyDescent="0.35">
      <c r="A662" s="1" t="s">
        <v>2576</v>
      </c>
      <c r="B662" s="1" t="s">
        <v>2577</v>
      </c>
      <c r="C662" s="1" t="s">
        <v>2578</v>
      </c>
      <c r="D662" s="1" t="s">
        <v>167</v>
      </c>
      <c r="E662" s="1" t="s">
        <v>17</v>
      </c>
      <c r="F662" s="1" t="s">
        <v>2579</v>
      </c>
      <c r="G662" s="1" t="s">
        <v>65</v>
      </c>
      <c r="H662" s="1" t="s">
        <v>77</v>
      </c>
      <c r="I662" s="1" t="s">
        <v>21</v>
      </c>
      <c r="J662" s="1" t="s">
        <v>21</v>
      </c>
      <c r="K662">
        <v>2500</v>
      </c>
      <c r="L662">
        <v>400</v>
      </c>
      <c r="M662">
        <v>0</v>
      </c>
    </row>
    <row r="663" spans="1:13" x14ac:dyDescent="0.35">
      <c r="A663" s="1" t="s">
        <v>2580</v>
      </c>
      <c r="B663" s="1" t="s">
        <v>2581</v>
      </c>
      <c r="C663" s="1" t="s">
        <v>2582</v>
      </c>
      <c r="D663" s="1" t="s">
        <v>58</v>
      </c>
      <c r="E663" s="1" t="s">
        <v>17</v>
      </c>
      <c r="F663" s="1" t="s">
        <v>2583</v>
      </c>
      <c r="G663" s="1" t="s">
        <v>65</v>
      </c>
      <c r="H663" s="1" t="s">
        <v>35</v>
      </c>
      <c r="I663" s="1" t="s">
        <v>21</v>
      </c>
      <c r="J663" s="1" t="s">
        <v>21</v>
      </c>
      <c r="K663">
        <v>2500</v>
      </c>
      <c r="L663">
        <v>204</v>
      </c>
      <c r="M663">
        <v>1</v>
      </c>
    </row>
    <row r="664" spans="1:13" x14ac:dyDescent="0.35">
      <c r="A664" s="1" t="s">
        <v>2584</v>
      </c>
      <c r="B664" s="1" t="s">
        <v>2585</v>
      </c>
      <c r="C664" s="1" t="s">
        <v>2586</v>
      </c>
      <c r="D664" s="1" t="s">
        <v>58</v>
      </c>
      <c r="E664" s="1" t="s">
        <v>94</v>
      </c>
      <c r="F664" s="1" t="s">
        <v>2587</v>
      </c>
      <c r="G664" s="1" t="s">
        <v>137</v>
      </c>
      <c r="H664" s="1" t="s">
        <v>77</v>
      </c>
      <c r="I664" s="1" t="s">
        <v>21</v>
      </c>
      <c r="J664" s="1" t="s">
        <v>21</v>
      </c>
      <c r="K664">
        <v>1500</v>
      </c>
      <c r="L664">
        <v>4885</v>
      </c>
      <c r="M664">
        <v>1</v>
      </c>
    </row>
    <row r="665" spans="1:13" x14ac:dyDescent="0.35">
      <c r="A665" s="1" t="s">
        <v>2588</v>
      </c>
      <c r="B665" s="1" t="s">
        <v>2589</v>
      </c>
      <c r="C665" s="1" t="s">
        <v>2590</v>
      </c>
      <c r="D665" s="1" t="s">
        <v>58</v>
      </c>
      <c r="E665" s="1" t="s">
        <v>94</v>
      </c>
      <c r="F665" s="1" t="s">
        <v>2591</v>
      </c>
      <c r="G665" s="1" t="s">
        <v>126</v>
      </c>
      <c r="H665" s="1" t="s">
        <v>35</v>
      </c>
      <c r="I665" s="1" t="s">
        <v>21</v>
      </c>
      <c r="J665" s="1" t="s">
        <v>21</v>
      </c>
      <c r="K665">
        <v>1500</v>
      </c>
      <c r="L665">
        <v>699</v>
      </c>
      <c r="M665">
        <v>0</v>
      </c>
    </row>
    <row r="666" spans="1:13" x14ac:dyDescent="0.35">
      <c r="A666" s="1" t="s">
        <v>2592</v>
      </c>
      <c r="B666" s="1" t="s">
        <v>2569</v>
      </c>
      <c r="C666" s="1" t="s">
        <v>2593</v>
      </c>
      <c r="D666" s="1" t="s">
        <v>16</v>
      </c>
      <c r="E666" s="1" t="s">
        <v>17</v>
      </c>
      <c r="F666" s="1" t="s">
        <v>2594</v>
      </c>
      <c r="G666" s="1" t="s">
        <v>19</v>
      </c>
      <c r="H666" s="1" t="s">
        <v>96</v>
      </c>
      <c r="I666" s="1" t="s">
        <v>21</v>
      </c>
      <c r="J666" s="1" t="s">
        <v>21</v>
      </c>
      <c r="K666">
        <v>2500</v>
      </c>
      <c r="L666">
        <v>1513</v>
      </c>
      <c r="M666">
        <v>0</v>
      </c>
    </row>
    <row r="667" spans="1:13" x14ac:dyDescent="0.35">
      <c r="A667" s="1" t="s">
        <v>2595</v>
      </c>
      <c r="B667" s="1" t="s">
        <v>2596</v>
      </c>
      <c r="C667" s="1" t="s">
        <v>2597</v>
      </c>
      <c r="D667" s="1" t="s">
        <v>25</v>
      </c>
      <c r="E667" s="1" t="s">
        <v>17</v>
      </c>
      <c r="F667" s="1" t="s">
        <v>2598</v>
      </c>
      <c r="G667" s="1" t="s">
        <v>137</v>
      </c>
      <c r="H667" s="1" t="s">
        <v>96</v>
      </c>
      <c r="I667" s="1" t="s">
        <v>21</v>
      </c>
      <c r="J667" s="1" t="s">
        <v>79</v>
      </c>
      <c r="K667">
        <v>2500</v>
      </c>
      <c r="L667">
        <v>4312</v>
      </c>
      <c r="M667">
        <v>0</v>
      </c>
    </row>
    <row r="668" spans="1:13" x14ac:dyDescent="0.35">
      <c r="A668" s="1" t="s">
        <v>2599</v>
      </c>
      <c r="B668" s="1" t="s">
        <v>2600</v>
      </c>
      <c r="C668" s="1" t="s">
        <v>2601</v>
      </c>
      <c r="D668" s="1" t="s">
        <v>46</v>
      </c>
      <c r="E668" s="1" t="s">
        <v>17</v>
      </c>
      <c r="F668" s="1" t="s">
        <v>2602</v>
      </c>
      <c r="G668" s="1" t="s">
        <v>89</v>
      </c>
      <c r="H668" s="1" t="s">
        <v>60</v>
      </c>
      <c r="I668" s="1" t="s">
        <v>21</v>
      </c>
      <c r="J668" s="1" t="s">
        <v>21</v>
      </c>
      <c r="K668">
        <v>2500</v>
      </c>
      <c r="L668">
        <v>2803</v>
      </c>
      <c r="M668">
        <v>0</v>
      </c>
    </row>
    <row r="669" spans="1:13" x14ac:dyDescent="0.35">
      <c r="A669" s="1" t="s">
        <v>2603</v>
      </c>
      <c r="B669" s="1" t="s">
        <v>2604</v>
      </c>
      <c r="C669" s="1" t="s">
        <v>2605</v>
      </c>
      <c r="D669" s="1" t="s">
        <v>58</v>
      </c>
      <c r="E669" s="1" t="s">
        <v>32</v>
      </c>
      <c r="F669" s="1" t="s">
        <v>2606</v>
      </c>
      <c r="G669" s="1" t="s">
        <v>65</v>
      </c>
      <c r="H669" s="1" t="s">
        <v>42</v>
      </c>
      <c r="I669" s="1" t="s">
        <v>21</v>
      </c>
      <c r="J669" s="1" t="s">
        <v>21</v>
      </c>
      <c r="K669">
        <v>0</v>
      </c>
      <c r="L669">
        <v>3042</v>
      </c>
      <c r="M669">
        <v>0</v>
      </c>
    </row>
    <row r="670" spans="1:13" x14ac:dyDescent="0.35">
      <c r="A670" s="1" t="s">
        <v>2607</v>
      </c>
      <c r="B670" s="1" t="s">
        <v>2608</v>
      </c>
      <c r="C670" s="1" t="s">
        <v>2609</v>
      </c>
      <c r="D670" s="1" t="s">
        <v>46</v>
      </c>
      <c r="E670" s="1" t="s">
        <v>39</v>
      </c>
      <c r="F670" s="1" t="s">
        <v>2610</v>
      </c>
      <c r="G670" s="1" t="s">
        <v>126</v>
      </c>
      <c r="H670" s="1" t="s">
        <v>42</v>
      </c>
      <c r="I670" s="1" t="s">
        <v>21</v>
      </c>
      <c r="J670" s="1" t="s">
        <v>21</v>
      </c>
      <c r="K670">
        <v>7500</v>
      </c>
      <c r="L670">
        <v>2261</v>
      </c>
      <c r="M670">
        <v>1</v>
      </c>
    </row>
    <row r="671" spans="1:13" x14ac:dyDescent="0.35">
      <c r="A671" s="1" t="s">
        <v>2611</v>
      </c>
      <c r="B671" s="1" t="s">
        <v>2612</v>
      </c>
      <c r="C671" s="1" t="s">
        <v>2613</v>
      </c>
      <c r="D671" s="1" t="s">
        <v>75</v>
      </c>
      <c r="E671" s="1" t="s">
        <v>52</v>
      </c>
      <c r="F671" s="1" t="s">
        <v>2614</v>
      </c>
      <c r="G671" s="1" t="s">
        <v>65</v>
      </c>
      <c r="H671" s="1" t="s">
        <v>60</v>
      </c>
      <c r="I671" s="1" t="s">
        <v>112</v>
      </c>
      <c r="J671" s="1" t="s">
        <v>79</v>
      </c>
      <c r="K671">
        <v>6500</v>
      </c>
      <c r="L671">
        <v>2314</v>
      </c>
      <c r="M671">
        <v>0</v>
      </c>
    </row>
    <row r="672" spans="1:13" x14ac:dyDescent="0.35">
      <c r="A672" s="1" t="s">
        <v>2615</v>
      </c>
      <c r="B672" s="1" t="s">
        <v>2616</v>
      </c>
      <c r="C672" s="1" t="s">
        <v>2617</v>
      </c>
      <c r="D672" s="1" t="s">
        <v>46</v>
      </c>
      <c r="E672" s="1" t="s">
        <v>17</v>
      </c>
      <c r="F672" s="1" t="s">
        <v>2618</v>
      </c>
      <c r="G672" s="1" t="s">
        <v>126</v>
      </c>
      <c r="H672" s="1" t="s">
        <v>106</v>
      </c>
      <c r="I672" s="1" t="s">
        <v>21</v>
      </c>
      <c r="J672" s="1" t="s">
        <v>21</v>
      </c>
      <c r="K672">
        <v>2500</v>
      </c>
      <c r="L672">
        <v>921</v>
      </c>
      <c r="M672">
        <v>0</v>
      </c>
    </row>
    <row r="673" spans="1:13" x14ac:dyDescent="0.35">
      <c r="A673" s="1" t="s">
        <v>2619</v>
      </c>
      <c r="B673" s="1" t="s">
        <v>2620</v>
      </c>
      <c r="C673" s="1" t="s">
        <v>2621</v>
      </c>
      <c r="D673" s="1" t="s">
        <v>58</v>
      </c>
      <c r="E673" s="1" t="s">
        <v>94</v>
      </c>
      <c r="F673" s="1" t="s">
        <v>2622</v>
      </c>
      <c r="G673" s="1" t="s">
        <v>34</v>
      </c>
      <c r="H673" s="1" t="s">
        <v>20</v>
      </c>
      <c r="I673" s="1" t="s">
        <v>21</v>
      </c>
      <c r="J673" s="1" t="s">
        <v>21</v>
      </c>
      <c r="K673">
        <v>1500</v>
      </c>
      <c r="L673">
        <v>432</v>
      </c>
      <c r="M673">
        <v>0</v>
      </c>
    </row>
    <row r="674" spans="1:13" x14ac:dyDescent="0.35">
      <c r="A674" s="1" t="s">
        <v>2623</v>
      </c>
      <c r="B674" s="1" t="s">
        <v>2624</v>
      </c>
      <c r="C674" s="1" t="s">
        <v>2625</v>
      </c>
      <c r="D674" s="1" t="s">
        <v>546</v>
      </c>
      <c r="E674" s="1" t="s">
        <v>52</v>
      </c>
      <c r="F674" s="1" t="s">
        <v>2626</v>
      </c>
      <c r="G674" s="1" t="s">
        <v>65</v>
      </c>
      <c r="H674" s="1" t="s">
        <v>60</v>
      </c>
      <c r="I674" s="1" t="s">
        <v>138</v>
      </c>
      <c r="J674" s="1" t="s">
        <v>121</v>
      </c>
      <c r="K674">
        <v>6500</v>
      </c>
      <c r="L674">
        <v>3385</v>
      </c>
      <c r="M674">
        <v>0</v>
      </c>
    </row>
    <row r="675" spans="1:13" x14ac:dyDescent="0.35">
      <c r="A675" s="1" t="s">
        <v>2627</v>
      </c>
      <c r="B675" s="1" t="s">
        <v>2480</v>
      </c>
      <c r="C675" s="1" t="s">
        <v>2628</v>
      </c>
      <c r="D675" s="1" t="s">
        <v>58</v>
      </c>
      <c r="E675" s="1" t="s">
        <v>32</v>
      </c>
      <c r="F675" s="1" t="s">
        <v>2629</v>
      </c>
      <c r="G675" s="1" t="s">
        <v>65</v>
      </c>
      <c r="H675" s="1" t="s">
        <v>96</v>
      </c>
      <c r="I675" s="1" t="s">
        <v>21</v>
      </c>
      <c r="J675" s="1" t="s">
        <v>21</v>
      </c>
      <c r="K675">
        <v>0</v>
      </c>
      <c r="L675">
        <v>4353</v>
      </c>
      <c r="M675">
        <v>0</v>
      </c>
    </row>
    <row r="676" spans="1:13" x14ac:dyDescent="0.35">
      <c r="A676" s="1" t="s">
        <v>2630</v>
      </c>
      <c r="B676" s="1" t="s">
        <v>2631</v>
      </c>
      <c r="C676" s="1" t="s">
        <v>2632</v>
      </c>
      <c r="D676" s="1" t="s">
        <v>75</v>
      </c>
      <c r="E676" s="1" t="s">
        <v>39</v>
      </c>
      <c r="F676" s="1" t="s">
        <v>2633</v>
      </c>
      <c r="G676" s="1" t="s">
        <v>41</v>
      </c>
      <c r="H676" s="1" t="s">
        <v>35</v>
      </c>
      <c r="I676" s="1" t="s">
        <v>21</v>
      </c>
      <c r="J676" s="1" t="s">
        <v>121</v>
      </c>
      <c r="K676">
        <v>7500</v>
      </c>
      <c r="L676">
        <v>976</v>
      </c>
      <c r="M676">
        <v>0</v>
      </c>
    </row>
    <row r="677" spans="1:13" x14ac:dyDescent="0.35">
      <c r="A677" s="1" t="s">
        <v>2634</v>
      </c>
      <c r="B677" s="1" t="s">
        <v>2635</v>
      </c>
      <c r="C677" s="1" t="s">
        <v>2636</v>
      </c>
      <c r="D677" s="1" t="s">
        <v>16</v>
      </c>
      <c r="E677" s="1" t="s">
        <v>17</v>
      </c>
      <c r="F677" s="1" t="s">
        <v>2637</v>
      </c>
      <c r="G677" s="1" t="s">
        <v>65</v>
      </c>
      <c r="H677" s="1" t="s">
        <v>20</v>
      </c>
      <c r="I677" s="1" t="s">
        <v>21</v>
      </c>
      <c r="J677" s="1" t="s">
        <v>21</v>
      </c>
      <c r="K677">
        <v>2500</v>
      </c>
      <c r="L677">
        <v>2409</v>
      </c>
      <c r="M677">
        <v>0</v>
      </c>
    </row>
    <row r="678" spans="1:13" x14ac:dyDescent="0.35">
      <c r="A678" s="1" t="s">
        <v>2638</v>
      </c>
      <c r="B678" s="1" t="s">
        <v>2639</v>
      </c>
      <c r="C678" s="1" t="s">
        <v>2640</v>
      </c>
      <c r="D678" s="1" t="s">
        <v>254</v>
      </c>
      <c r="E678" s="1" t="s">
        <v>17</v>
      </c>
      <c r="F678" s="1" t="s">
        <v>2641</v>
      </c>
      <c r="G678" s="1" t="s">
        <v>34</v>
      </c>
      <c r="H678" s="1" t="s">
        <v>42</v>
      </c>
      <c r="I678" s="1" t="s">
        <v>21</v>
      </c>
      <c r="J678" s="1" t="s">
        <v>21</v>
      </c>
      <c r="K678">
        <v>2500</v>
      </c>
      <c r="L678">
        <v>4069</v>
      </c>
      <c r="M678">
        <v>1</v>
      </c>
    </row>
    <row r="679" spans="1:13" x14ac:dyDescent="0.35">
      <c r="A679" s="1" t="s">
        <v>2642</v>
      </c>
      <c r="B679" s="1" t="s">
        <v>2643</v>
      </c>
      <c r="C679" s="1" t="s">
        <v>2644</v>
      </c>
      <c r="D679" s="1" t="s">
        <v>25</v>
      </c>
      <c r="E679" s="1" t="s">
        <v>52</v>
      </c>
      <c r="F679" s="1" t="s">
        <v>2645</v>
      </c>
      <c r="G679" s="1" t="s">
        <v>65</v>
      </c>
      <c r="H679" s="1" t="s">
        <v>20</v>
      </c>
      <c r="I679" s="1" t="s">
        <v>112</v>
      </c>
      <c r="J679" s="1" t="s">
        <v>71</v>
      </c>
      <c r="K679">
        <v>6500</v>
      </c>
      <c r="L679">
        <v>4905</v>
      </c>
      <c r="M679">
        <v>0</v>
      </c>
    </row>
    <row r="680" spans="1:13" x14ac:dyDescent="0.35">
      <c r="A680" s="1" t="s">
        <v>2646</v>
      </c>
      <c r="B680" s="1" t="s">
        <v>2647</v>
      </c>
      <c r="C680" s="1" t="s">
        <v>2648</v>
      </c>
      <c r="D680" s="1" t="s">
        <v>25</v>
      </c>
      <c r="E680" s="1" t="s">
        <v>17</v>
      </c>
      <c r="F680" s="1" t="s">
        <v>2649</v>
      </c>
      <c r="G680" s="1" t="s">
        <v>126</v>
      </c>
      <c r="H680" s="1" t="s">
        <v>20</v>
      </c>
      <c r="I680" s="1" t="s">
        <v>21</v>
      </c>
      <c r="J680" s="1" t="s">
        <v>79</v>
      </c>
      <c r="L680">
        <v>201</v>
      </c>
      <c r="M680">
        <v>0</v>
      </c>
    </row>
    <row r="681" spans="1:13" x14ac:dyDescent="0.35">
      <c r="A681" s="1" t="s">
        <v>2650</v>
      </c>
      <c r="B681" s="1" t="s">
        <v>2651</v>
      </c>
      <c r="C681" s="1" t="s">
        <v>2652</v>
      </c>
      <c r="D681" s="1" t="s">
        <v>93</v>
      </c>
      <c r="E681" s="1" t="s">
        <v>32</v>
      </c>
      <c r="F681" s="1" t="s">
        <v>2653</v>
      </c>
      <c r="G681" s="1" t="s">
        <v>195</v>
      </c>
      <c r="H681" s="1" t="s">
        <v>20</v>
      </c>
      <c r="I681" s="1" t="s">
        <v>21</v>
      </c>
      <c r="J681" s="1" t="s">
        <v>21</v>
      </c>
      <c r="L681">
        <v>333</v>
      </c>
      <c r="M681">
        <v>0</v>
      </c>
    </row>
    <row r="682" spans="1:13" x14ac:dyDescent="0.35">
      <c r="A682" s="1" t="s">
        <v>2654</v>
      </c>
      <c r="B682" s="1" t="s">
        <v>2655</v>
      </c>
      <c r="C682" s="1" t="s">
        <v>2656</v>
      </c>
      <c r="D682" s="1" t="s">
        <v>546</v>
      </c>
      <c r="E682" s="1" t="s">
        <v>17</v>
      </c>
      <c r="F682" s="1" t="s">
        <v>2657</v>
      </c>
      <c r="G682" s="1" t="s">
        <v>126</v>
      </c>
      <c r="H682" s="1" t="s">
        <v>54</v>
      </c>
      <c r="I682" s="1" t="s">
        <v>21</v>
      </c>
      <c r="J682" s="1" t="s">
        <v>79</v>
      </c>
      <c r="L682">
        <v>3674</v>
      </c>
      <c r="M682">
        <v>0</v>
      </c>
    </row>
    <row r="683" spans="1:13" x14ac:dyDescent="0.35">
      <c r="A683" s="1" t="s">
        <v>2658</v>
      </c>
      <c r="B683" s="1" t="s">
        <v>1416</v>
      </c>
      <c r="C683" s="1" t="s">
        <v>2659</v>
      </c>
      <c r="D683" s="1" t="s">
        <v>16</v>
      </c>
      <c r="E683" s="1" t="s">
        <v>32</v>
      </c>
      <c r="F683" s="1" t="s">
        <v>2660</v>
      </c>
      <c r="G683" s="1" t="s">
        <v>485</v>
      </c>
      <c r="H683" s="1" t="s">
        <v>60</v>
      </c>
      <c r="I683" s="1" t="s">
        <v>21</v>
      </c>
      <c r="J683" s="1" t="s">
        <v>21</v>
      </c>
      <c r="K683">
        <v>0</v>
      </c>
      <c r="L683">
        <v>418</v>
      </c>
      <c r="M683">
        <v>0</v>
      </c>
    </row>
    <row r="684" spans="1:13" x14ac:dyDescent="0.35">
      <c r="A684" s="1" t="s">
        <v>2661</v>
      </c>
      <c r="B684" s="1" t="s">
        <v>2662</v>
      </c>
      <c r="C684" s="1" t="s">
        <v>2663</v>
      </c>
      <c r="D684" s="1" t="s">
        <v>546</v>
      </c>
      <c r="E684" s="1" t="s">
        <v>32</v>
      </c>
      <c r="F684" s="1" t="s">
        <v>2664</v>
      </c>
      <c r="G684" s="1" t="s">
        <v>41</v>
      </c>
      <c r="H684" s="1" t="s">
        <v>60</v>
      </c>
      <c r="I684" s="1" t="s">
        <v>21</v>
      </c>
      <c r="J684" s="1" t="s">
        <v>71</v>
      </c>
      <c r="K684">
        <v>0</v>
      </c>
      <c r="L684">
        <v>4577</v>
      </c>
      <c r="M684">
        <v>1</v>
      </c>
    </row>
    <row r="685" spans="1:13" x14ac:dyDescent="0.35">
      <c r="A685" s="1" t="s">
        <v>2665</v>
      </c>
      <c r="B685" s="1" t="s">
        <v>2666</v>
      </c>
      <c r="C685" s="1" t="s">
        <v>2667</v>
      </c>
      <c r="D685" s="1" t="s">
        <v>58</v>
      </c>
      <c r="E685" s="1" t="s">
        <v>52</v>
      </c>
      <c r="F685" s="1" t="s">
        <v>2668</v>
      </c>
      <c r="G685" s="1" t="s">
        <v>65</v>
      </c>
      <c r="H685" s="1" t="s">
        <v>20</v>
      </c>
      <c r="I685" s="1" t="s">
        <v>291</v>
      </c>
      <c r="J685" s="1" t="s">
        <v>21</v>
      </c>
      <c r="K685">
        <v>6500</v>
      </c>
      <c r="L685">
        <v>1882</v>
      </c>
      <c r="M685">
        <v>0</v>
      </c>
    </row>
    <row r="686" spans="1:13" x14ac:dyDescent="0.35">
      <c r="A686" s="1" t="s">
        <v>21</v>
      </c>
      <c r="B686" s="1" t="s">
        <v>21</v>
      </c>
      <c r="C686" s="1" t="s">
        <v>2669</v>
      </c>
      <c r="D686" s="1" t="s">
        <v>25</v>
      </c>
      <c r="E686" s="1" t="s">
        <v>52</v>
      </c>
      <c r="F686" s="1" t="s">
        <v>21</v>
      </c>
      <c r="G686" s="1" t="s">
        <v>21</v>
      </c>
      <c r="H686" s="1" t="s">
        <v>106</v>
      </c>
      <c r="I686" s="1" t="s">
        <v>21</v>
      </c>
      <c r="J686" s="1" t="s">
        <v>21</v>
      </c>
      <c r="M686">
        <v>0</v>
      </c>
    </row>
    <row r="687" spans="1:13" x14ac:dyDescent="0.35">
      <c r="A687" s="1" t="s">
        <v>2670</v>
      </c>
      <c r="B687" s="1" t="s">
        <v>2671</v>
      </c>
      <c r="C687" s="1" t="s">
        <v>2672</v>
      </c>
      <c r="D687" s="1" t="s">
        <v>284</v>
      </c>
      <c r="E687" s="1" t="s">
        <v>39</v>
      </c>
      <c r="F687" s="1" t="s">
        <v>2673</v>
      </c>
      <c r="G687" s="1" t="s">
        <v>41</v>
      </c>
      <c r="H687" s="1" t="s">
        <v>106</v>
      </c>
      <c r="I687" s="1" t="s">
        <v>21</v>
      </c>
      <c r="J687" s="1" t="s">
        <v>21</v>
      </c>
      <c r="K687">
        <v>7500</v>
      </c>
      <c r="L687">
        <v>1800</v>
      </c>
      <c r="M687">
        <v>0</v>
      </c>
    </row>
    <row r="688" spans="1:13" x14ac:dyDescent="0.35">
      <c r="A688" s="1" t="s">
        <v>2674</v>
      </c>
      <c r="B688" s="1" t="s">
        <v>2675</v>
      </c>
      <c r="C688" s="1" t="s">
        <v>2676</v>
      </c>
      <c r="D688" s="1" t="s">
        <v>16</v>
      </c>
      <c r="E688" s="1" t="s">
        <v>39</v>
      </c>
      <c r="F688" s="1" t="s">
        <v>2677</v>
      </c>
      <c r="G688" s="1" t="s">
        <v>105</v>
      </c>
      <c r="H688" s="1" t="s">
        <v>54</v>
      </c>
      <c r="I688" s="1" t="s">
        <v>21</v>
      </c>
      <c r="J688" s="1" t="s">
        <v>21</v>
      </c>
      <c r="K688">
        <v>7500</v>
      </c>
      <c r="L688">
        <v>4220</v>
      </c>
      <c r="M688">
        <v>0</v>
      </c>
    </row>
    <row r="689" spans="1:13" x14ac:dyDescent="0.35">
      <c r="A689" s="1" t="s">
        <v>2678</v>
      </c>
      <c r="B689" s="1" t="s">
        <v>2679</v>
      </c>
      <c r="C689" s="1" t="s">
        <v>2680</v>
      </c>
      <c r="D689" s="1" t="s">
        <v>16</v>
      </c>
      <c r="E689" s="1" t="s">
        <v>32</v>
      </c>
      <c r="F689" s="1" t="s">
        <v>2681</v>
      </c>
      <c r="G689" s="1" t="s">
        <v>65</v>
      </c>
      <c r="H689" s="1" t="s">
        <v>106</v>
      </c>
      <c r="I689" s="1" t="s">
        <v>21</v>
      </c>
      <c r="J689" s="1" t="s">
        <v>21</v>
      </c>
      <c r="K689">
        <v>0</v>
      </c>
      <c r="L689">
        <v>2985</v>
      </c>
      <c r="M689">
        <v>0</v>
      </c>
    </row>
    <row r="690" spans="1:13" x14ac:dyDescent="0.35">
      <c r="A690" s="1" t="s">
        <v>2682</v>
      </c>
      <c r="B690" s="1" t="s">
        <v>2683</v>
      </c>
      <c r="C690" s="1" t="s">
        <v>2684</v>
      </c>
      <c r="D690" s="1" t="s">
        <v>75</v>
      </c>
      <c r="E690" s="1" t="s">
        <v>32</v>
      </c>
      <c r="F690" s="1" t="s">
        <v>2685</v>
      </c>
      <c r="G690" s="1" t="s">
        <v>34</v>
      </c>
      <c r="H690" s="1" t="s">
        <v>35</v>
      </c>
      <c r="I690" s="1" t="s">
        <v>21</v>
      </c>
      <c r="J690" s="1" t="s">
        <v>121</v>
      </c>
      <c r="K690">
        <v>0</v>
      </c>
      <c r="L690">
        <v>2178</v>
      </c>
      <c r="M690">
        <v>1</v>
      </c>
    </row>
    <row r="691" spans="1:13" x14ac:dyDescent="0.35">
      <c r="A691" s="1" t="s">
        <v>2686</v>
      </c>
      <c r="B691" s="1" t="s">
        <v>2687</v>
      </c>
      <c r="C691" s="1" t="s">
        <v>2688</v>
      </c>
      <c r="D691" s="1" t="s">
        <v>16</v>
      </c>
      <c r="E691" s="1" t="s">
        <v>17</v>
      </c>
      <c r="F691" s="1" t="s">
        <v>2689</v>
      </c>
      <c r="G691" s="1" t="s">
        <v>41</v>
      </c>
      <c r="H691" s="1" t="s">
        <v>42</v>
      </c>
      <c r="I691" s="1" t="s">
        <v>21</v>
      </c>
      <c r="J691" s="1" t="s">
        <v>21</v>
      </c>
      <c r="K691">
        <v>2500</v>
      </c>
      <c r="L691">
        <v>305</v>
      </c>
      <c r="M691">
        <v>0</v>
      </c>
    </row>
    <row r="692" spans="1:13" x14ac:dyDescent="0.35">
      <c r="A692" s="1" t="s">
        <v>2690</v>
      </c>
      <c r="B692" s="1" t="s">
        <v>2691</v>
      </c>
      <c r="C692" s="1" t="s">
        <v>2692</v>
      </c>
      <c r="D692" s="1" t="s">
        <v>284</v>
      </c>
      <c r="E692" s="1" t="s">
        <v>52</v>
      </c>
      <c r="F692" s="1" t="s">
        <v>2693</v>
      </c>
      <c r="G692" s="1" t="s">
        <v>65</v>
      </c>
      <c r="H692" s="1" t="s">
        <v>106</v>
      </c>
      <c r="I692" s="1" t="s">
        <v>112</v>
      </c>
      <c r="J692" s="1" t="s">
        <v>21</v>
      </c>
      <c r="K692">
        <v>6500</v>
      </c>
      <c r="L692">
        <v>1235</v>
      </c>
      <c r="M692">
        <v>0</v>
      </c>
    </row>
    <row r="693" spans="1:13" x14ac:dyDescent="0.35">
      <c r="A693" s="1" t="s">
        <v>2694</v>
      </c>
      <c r="B693" s="1" t="s">
        <v>2695</v>
      </c>
      <c r="C693" s="1" t="s">
        <v>2696</v>
      </c>
      <c r="D693" s="1" t="s">
        <v>25</v>
      </c>
      <c r="E693" s="1" t="s">
        <v>17</v>
      </c>
      <c r="F693" s="1" t="s">
        <v>2697</v>
      </c>
      <c r="G693" s="1" t="s">
        <v>126</v>
      </c>
      <c r="H693" s="1" t="s">
        <v>42</v>
      </c>
      <c r="I693" s="1" t="s">
        <v>21</v>
      </c>
      <c r="J693" s="1" t="s">
        <v>71</v>
      </c>
      <c r="K693">
        <v>2500</v>
      </c>
      <c r="M693">
        <v>0</v>
      </c>
    </row>
    <row r="694" spans="1:13" x14ac:dyDescent="0.35">
      <c r="A694" s="1" t="s">
        <v>2698</v>
      </c>
      <c r="B694" s="1" t="s">
        <v>2699</v>
      </c>
      <c r="C694" s="1" t="s">
        <v>2700</v>
      </c>
      <c r="D694" s="1" t="s">
        <v>25</v>
      </c>
      <c r="E694" s="1" t="s">
        <v>94</v>
      </c>
      <c r="F694" s="1" t="s">
        <v>2701</v>
      </c>
      <c r="G694" s="1" t="s">
        <v>65</v>
      </c>
      <c r="H694" s="1" t="s">
        <v>20</v>
      </c>
      <c r="I694" s="1" t="s">
        <v>21</v>
      </c>
      <c r="J694" s="1" t="s">
        <v>21</v>
      </c>
      <c r="K694">
        <v>1500</v>
      </c>
      <c r="L694">
        <v>814</v>
      </c>
      <c r="M694">
        <v>0</v>
      </c>
    </row>
    <row r="695" spans="1:13" x14ac:dyDescent="0.35">
      <c r="A695" s="1" t="s">
        <v>2702</v>
      </c>
      <c r="B695" s="1" t="s">
        <v>2703</v>
      </c>
      <c r="C695" s="1" t="s">
        <v>2704</v>
      </c>
      <c r="D695" s="1" t="s">
        <v>150</v>
      </c>
      <c r="E695" s="1" t="s">
        <v>94</v>
      </c>
      <c r="F695" s="1" t="s">
        <v>2705</v>
      </c>
      <c r="G695" s="1" t="s">
        <v>34</v>
      </c>
      <c r="H695" s="1" t="s">
        <v>20</v>
      </c>
      <c r="I695" s="1" t="s">
        <v>21</v>
      </c>
      <c r="J695" s="1" t="s">
        <v>21</v>
      </c>
      <c r="K695">
        <v>1500</v>
      </c>
      <c r="L695">
        <v>4526</v>
      </c>
      <c r="M695">
        <v>0</v>
      </c>
    </row>
    <row r="696" spans="1:13" x14ac:dyDescent="0.35">
      <c r="A696" s="1" t="s">
        <v>2706</v>
      </c>
      <c r="B696" s="1" t="s">
        <v>2707</v>
      </c>
      <c r="C696" s="1" t="s">
        <v>2708</v>
      </c>
      <c r="D696" s="1" t="s">
        <v>25</v>
      </c>
      <c r="E696" s="1" t="s">
        <v>52</v>
      </c>
      <c r="F696" s="1" t="s">
        <v>2709</v>
      </c>
      <c r="G696" s="1" t="s">
        <v>41</v>
      </c>
      <c r="H696" s="1" t="s">
        <v>42</v>
      </c>
      <c r="I696" s="1" t="s">
        <v>21</v>
      </c>
      <c r="J696" s="1" t="s">
        <v>71</v>
      </c>
      <c r="K696">
        <v>6500</v>
      </c>
      <c r="L696">
        <v>1621</v>
      </c>
      <c r="M696">
        <v>0</v>
      </c>
    </row>
    <row r="697" spans="1:13" x14ac:dyDescent="0.35">
      <c r="A697" s="1" t="s">
        <v>2710</v>
      </c>
      <c r="B697" s="1" t="s">
        <v>2711</v>
      </c>
      <c r="C697" s="1" t="s">
        <v>2712</v>
      </c>
      <c r="D697" s="1" t="s">
        <v>75</v>
      </c>
      <c r="E697" s="1" t="s">
        <v>94</v>
      </c>
      <c r="F697" s="1" t="s">
        <v>2713</v>
      </c>
      <c r="G697" s="1" t="s">
        <v>126</v>
      </c>
      <c r="H697" s="1" t="s">
        <v>42</v>
      </c>
      <c r="I697" s="1" t="s">
        <v>21</v>
      </c>
      <c r="J697" s="1" t="s">
        <v>79</v>
      </c>
      <c r="K697">
        <v>1500</v>
      </c>
      <c r="L697">
        <v>2607</v>
      </c>
      <c r="M697">
        <v>0</v>
      </c>
    </row>
    <row r="698" spans="1:13" x14ac:dyDescent="0.35">
      <c r="A698" s="1" t="s">
        <v>2714</v>
      </c>
      <c r="B698" s="1" t="s">
        <v>427</v>
      </c>
      <c r="C698" s="1" t="s">
        <v>2715</v>
      </c>
      <c r="D698" s="1" t="s">
        <v>75</v>
      </c>
      <c r="E698" s="1" t="s">
        <v>17</v>
      </c>
      <c r="F698" s="1" t="s">
        <v>2716</v>
      </c>
      <c r="G698" s="1" t="s">
        <v>126</v>
      </c>
      <c r="H698" s="1" t="s">
        <v>60</v>
      </c>
      <c r="I698" s="1" t="s">
        <v>21</v>
      </c>
      <c r="J698" s="1" t="s">
        <v>71</v>
      </c>
      <c r="K698">
        <v>2500</v>
      </c>
      <c r="L698">
        <v>4907</v>
      </c>
      <c r="M698">
        <v>0</v>
      </c>
    </row>
    <row r="699" spans="1:13" x14ac:dyDescent="0.35">
      <c r="A699" s="1" t="s">
        <v>2717</v>
      </c>
      <c r="B699" s="1" t="s">
        <v>2718</v>
      </c>
      <c r="C699" s="1" t="s">
        <v>2719</v>
      </c>
      <c r="D699" s="1" t="s">
        <v>58</v>
      </c>
      <c r="E699" s="1" t="s">
        <v>94</v>
      </c>
      <c r="F699" s="1" t="s">
        <v>2720</v>
      </c>
      <c r="G699" s="1" t="s">
        <v>126</v>
      </c>
      <c r="H699" s="1" t="s">
        <v>106</v>
      </c>
      <c r="I699" s="1" t="s">
        <v>21</v>
      </c>
      <c r="J699" s="1" t="s">
        <v>21</v>
      </c>
      <c r="K699">
        <v>1500</v>
      </c>
      <c r="L699">
        <v>1562</v>
      </c>
      <c r="M699">
        <v>0</v>
      </c>
    </row>
    <row r="700" spans="1:13" x14ac:dyDescent="0.35">
      <c r="A700" s="1" t="s">
        <v>2721</v>
      </c>
      <c r="B700" s="1" t="s">
        <v>2722</v>
      </c>
      <c r="C700" s="1" t="s">
        <v>2723</v>
      </c>
      <c r="D700" s="1" t="s">
        <v>25</v>
      </c>
      <c r="E700" s="1" t="s">
        <v>39</v>
      </c>
      <c r="F700" s="1" t="s">
        <v>2724</v>
      </c>
      <c r="G700" s="1" t="s">
        <v>65</v>
      </c>
      <c r="H700" s="1" t="s">
        <v>77</v>
      </c>
      <c r="I700" s="1" t="s">
        <v>21</v>
      </c>
      <c r="J700" s="1" t="s">
        <v>208</v>
      </c>
      <c r="K700">
        <v>7500</v>
      </c>
      <c r="L700">
        <v>305</v>
      </c>
      <c r="M700">
        <v>0</v>
      </c>
    </row>
    <row r="701" spans="1:13" x14ac:dyDescent="0.35">
      <c r="A701" s="1" t="s">
        <v>2725</v>
      </c>
      <c r="B701" s="1" t="s">
        <v>2726</v>
      </c>
      <c r="C701" s="1" t="s">
        <v>2727</v>
      </c>
      <c r="D701" s="1" t="s">
        <v>58</v>
      </c>
      <c r="E701" s="1" t="s">
        <v>32</v>
      </c>
      <c r="F701" s="1" t="s">
        <v>2728</v>
      </c>
      <c r="G701" s="1" t="s">
        <v>65</v>
      </c>
      <c r="H701" s="1" t="s">
        <v>106</v>
      </c>
      <c r="I701" s="1" t="s">
        <v>21</v>
      </c>
      <c r="J701" s="1" t="s">
        <v>21</v>
      </c>
      <c r="K701">
        <v>0</v>
      </c>
      <c r="L701">
        <v>4765</v>
      </c>
      <c r="M701">
        <v>0</v>
      </c>
    </row>
    <row r="702" spans="1:13" x14ac:dyDescent="0.35">
      <c r="A702" s="1" t="s">
        <v>2729</v>
      </c>
      <c r="B702" s="1" t="s">
        <v>2730</v>
      </c>
      <c r="C702" s="1" t="s">
        <v>2731</v>
      </c>
      <c r="D702" s="1" t="s">
        <v>254</v>
      </c>
      <c r="E702" s="1" t="s">
        <v>39</v>
      </c>
      <c r="F702" s="1" t="s">
        <v>2732</v>
      </c>
      <c r="G702" s="1" t="s">
        <v>41</v>
      </c>
      <c r="H702" s="1" t="s">
        <v>106</v>
      </c>
      <c r="I702" s="1" t="s">
        <v>21</v>
      </c>
      <c r="J702" s="1" t="s">
        <v>21</v>
      </c>
      <c r="K702">
        <v>7500</v>
      </c>
      <c r="L702">
        <v>1467</v>
      </c>
      <c r="M702">
        <v>1</v>
      </c>
    </row>
    <row r="703" spans="1:13" x14ac:dyDescent="0.35">
      <c r="A703" s="1" t="s">
        <v>2733</v>
      </c>
      <c r="B703" s="1" t="s">
        <v>2734</v>
      </c>
      <c r="C703" s="1" t="s">
        <v>2735</v>
      </c>
      <c r="D703" s="1" t="s">
        <v>75</v>
      </c>
      <c r="E703" s="1" t="s">
        <v>94</v>
      </c>
      <c r="F703" s="1" t="s">
        <v>2736</v>
      </c>
      <c r="G703" s="1" t="s">
        <v>48</v>
      </c>
      <c r="H703" s="1" t="s">
        <v>106</v>
      </c>
      <c r="I703" s="1" t="s">
        <v>21</v>
      </c>
      <c r="J703" s="1" t="s">
        <v>71</v>
      </c>
      <c r="K703">
        <v>1500</v>
      </c>
      <c r="L703">
        <v>2380</v>
      </c>
      <c r="M703">
        <v>0</v>
      </c>
    </row>
    <row r="704" spans="1:13" x14ac:dyDescent="0.35">
      <c r="A704" s="1" t="s">
        <v>2737</v>
      </c>
      <c r="B704" s="1" t="s">
        <v>2738</v>
      </c>
      <c r="C704" s="1" t="s">
        <v>2739</v>
      </c>
      <c r="D704" s="1" t="s">
        <v>75</v>
      </c>
      <c r="E704" s="1" t="s">
        <v>52</v>
      </c>
      <c r="F704" s="1" t="s">
        <v>2740</v>
      </c>
      <c r="G704" s="1" t="s">
        <v>65</v>
      </c>
      <c r="H704" s="1" t="s">
        <v>77</v>
      </c>
      <c r="I704" s="1" t="s">
        <v>291</v>
      </c>
      <c r="J704" s="1" t="s">
        <v>21</v>
      </c>
      <c r="K704">
        <v>6500</v>
      </c>
      <c r="L704">
        <v>2156</v>
      </c>
      <c r="M704">
        <v>0</v>
      </c>
    </row>
    <row r="705" spans="1:13" x14ac:dyDescent="0.35">
      <c r="A705" s="1" t="s">
        <v>2741</v>
      </c>
      <c r="B705" s="1" t="s">
        <v>2742</v>
      </c>
      <c r="C705" s="1" t="s">
        <v>2743</v>
      </c>
      <c r="D705" s="1" t="s">
        <v>75</v>
      </c>
      <c r="E705" s="1" t="s">
        <v>17</v>
      </c>
      <c r="F705" s="1" t="s">
        <v>2744</v>
      </c>
      <c r="G705" s="1" t="s">
        <v>264</v>
      </c>
      <c r="H705" s="1" t="s">
        <v>20</v>
      </c>
      <c r="I705" s="1" t="s">
        <v>21</v>
      </c>
      <c r="J705" s="1" t="s">
        <v>79</v>
      </c>
      <c r="K705">
        <v>2500</v>
      </c>
      <c r="L705">
        <v>301</v>
      </c>
      <c r="M705">
        <v>0</v>
      </c>
    </row>
    <row r="706" spans="1:13" x14ac:dyDescent="0.35">
      <c r="A706" s="1" t="s">
        <v>21</v>
      </c>
      <c r="B706" s="1" t="s">
        <v>21</v>
      </c>
      <c r="C706" s="1" t="s">
        <v>2745</v>
      </c>
      <c r="D706" s="1" t="s">
        <v>58</v>
      </c>
      <c r="E706" s="1" t="s">
        <v>52</v>
      </c>
      <c r="F706" s="1" t="s">
        <v>21</v>
      </c>
      <c r="G706" s="1" t="s">
        <v>21</v>
      </c>
      <c r="H706" s="1" t="s">
        <v>96</v>
      </c>
      <c r="I706" s="1" t="s">
        <v>21</v>
      </c>
      <c r="J706" s="1" t="s">
        <v>21</v>
      </c>
      <c r="M706">
        <v>0</v>
      </c>
    </row>
    <row r="707" spans="1:13" x14ac:dyDescent="0.35">
      <c r="A707" s="1" t="s">
        <v>2746</v>
      </c>
      <c r="B707" s="1" t="s">
        <v>2747</v>
      </c>
      <c r="C707" s="1" t="s">
        <v>2748</v>
      </c>
      <c r="D707" s="1" t="s">
        <v>75</v>
      </c>
      <c r="E707" s="1" t="s">
        <v>32</v>
      </c>
      <c r="F707" s="1" t="s">
        <v>2749</v>
      </c>
      <c r="G707" s="1" t="s">
        <v>48</v>
      </c>
      <c r="H707" s="1" t="s">
        <v>35</v>
      </c>
      <c r="I707" s="1" t="s">
        <v>21</v>
      </c>
      <c r="J707" s="1" t="s">
        <v>71</v>
      </c>
      <c r="K707">
        <v>0</v>
      </c>
      <c r="L707">
        <v>3795</v>
      </c>
      <c r="M707">
        <v>1</v>
      </c>
    </row>
    <row r="708" spans="1:13" x14ac:dyDescent="0.35">
      <c r="A708" s="1" t="s">
        <v>2750</v>
      </c>
      <c r="B708" s="1" t="s">
        <v>2751</v>
      </c>
      <c r="C708" s="1" t="s">
        <v>2752</v>
      </c>
      <c r="D708" s="1" t="s">
        <v>75</v>
      </c>
      <c r="E708" s="1" t="s">
        <v>52</v>
      </c>
      <c r="F708" s="1" t="s">
        <v>2753</v>
      </c>
      <c r="G708" s="1" t="s">
        <v>65</v>
      </c>
      <c r="H708" s="1" t="s">
        <v>54</v>
      </c>
      <c r="I708" s="1" t="s">
        <v>291</v>
      </c>
      <c r="J708" s="1" t="s">
        <v>121</v>
      </c>
      <c r="K708">
        <v>6500</v>
      </c>
      <c r="L708">
        <v>1024</v>
      </c>
      <c r="M708">
        <v>0</v>
      </c>
    </row>
    <row r="709" spans="1:13" x14ac:dyDescent="0.35">
      <c r="A709" s="1" t="s">
        <v>2754</v>
      </c>
      <c r="B709" s="1" t="s">
        <v>2755</v>
      </c>
      <c r="C709" s="1" t="s">
        <v>2756</v>
      </c>
      <c r="D709" s="1" t="s">
        <v>75</v>
      </c>
      <c r="E709" s="1" t="s">
        <v>52</v>
      </c>
      <c r="F709" s="1" t="s">
        <v>2757</v>
      </c>
      <c r="G709" s="1" t="s">
        <v>126</v>
      </c>
      <c r="H709" s="1" t="s">
        <v>54</v>
      </c>
      <c r="I709" s="1" t="s">
        <v>112</v>
      </c>
      <c r="J709" s="1" t="s">
        <v>226</v>
      </c>
      <c r="K709">
        <v>6500</v>
      </c>
      <c r="L709">
        <v>3081</v>
      </c>
      <c r="M709">
        <v>0</v>
      </c>
    </row>
    <row r="710" spans="1:13" x14ac:dyDescent="0.35">
      <c r="A710" s="1" t="s">
        <v>2758</v>
      </c>
      <c r="B710" s="1" t="s">
        <v>2759</v>
      </c>
      <c r="C710" s="1" t="s">
        <v>2760</v>
      </c>
      <c r="D710" s="1" t="s">
        <v>93</v>
      </c>
      <c r="E710" s="1" t="s">
        <v>17</v>
      </c>
      <c r="F710" s="1" t="s">
        <v>2761</v>
      </c>
      <c r="G710" s="1" t="s">
        <v>65</v>
      </c>
      <c r="H710" s="1" t="s">
        <v>60</v>
      </c>
      <c r="I710" s="1" t="s">
        <v>21</v>
      </c>
      <c r="J710" s="1" t="s">
        <v>71</v>
      </c>
      <c r="K710">
        <v>2500</v>
      </c>
      <c r="L710">
        <v>1550</v>
      </c>
      <c r="M710">
        <v>0</v>
      </c>
    </row>
    <row r="711" spans="1:13" x14ac:dyDescent="0.35">
      <c r="A711" s="1" t="s">
        <v>2762</v>
      </c>
      <c r="B711" s="1" t="s">
        <v>2763</v>
      </c>
      <c r="C711" s="1" t="s">
        <v>2764</v>
      </c>
      <c r="D711" s="1" t="s">
        <v>75</v>
      </c>
      <c r="E711" s="1" t="s">
        <v>32</v>
      </c>
      <c r="F711" s="1" t="s">
        <v>2765</v>
      </c>
      <c r="G711" s="1" t="s">
        <v>126</v>
      </c>
      <c r="H711" s="1" t="s">
        <v>42</v>
      </c>
      <c r="I711" s="1" t="s">
        <v>21</v>
      </c>
      <c r="J711" s="1" t="s">
        <v>79</v>
      </c>
      <c r="K711">
        <v>0</v>
      </c>
      <c r="L711">
        <v>817</v>
      </c>
      <c r="M711">
        <v>0</v>
      </c>
    </row>
    <row r="712" spans="1:13" x14ac:dyDescent="0.35">
      <c r="A712" s="1" t="s">
        <v>2766</v>
      </c>
      <c r="B712" s="1" t="s">
        <v>2767</v>
      </c>
      <c r="C712" s="1" t="s">
        <v>2768</v>
      </c>
      <c r="D712" s="1" t="s">
        <v>16</v>
      </c>
      <c r="E712" s="1" t="s">
        <v>52</v>
      </c>
      <c r="F712" s="1" t="s">
        <v>2769</v>
      </c>
      <c r="G712" s="1" t="s">
        <v>48</v>
      </c>
      <c r="H712" s="1" t="s">
        <v>96</v>
      </c>
      <c r="I712" s="1" t="s">
        <v>291</v>
      </c>
      <c r="J712" s="1" t="s">
        <v>21</v>
      </c>
      <c r="K712">
        <v>6500</v>
      </c>
      <c r="L712">
        <v>2135</v>
      </c>
      <c r="M712">
        <v>0</v>
      </c>
    </row>
    <row r="713" spans="1:13" x14ac:dyDescent="0.35">
      <c r="A713" s="1" t="s">
        <v>2770</v>
      </c>
      <c r="B713" s="1" t="s">
        <v>2771</v>
      </c>
      <c r="C713" s="1" t="s">
        <v>2772</v>
      </c>
      <c r="D713" s="1" t="s">
        <v>58</v>
      </c>
      <c r="E713" s="1" t="s">
        <v>52</v>
      </c>
      <c r="F713" s="1" t="s">
        <v>2773</v>
      </c>
      <c r="G713" s="1" t="s">
        <v>126</v>
      </c>
      <c r="H713" s="1" t="s">
        <v>54</v>
      </c>
      <c r="I713" s="1" t="s">
        <v>2165</v>
      </c>
      <c r="J713" s="1" t="s">
        <v>21</v>
      </c>
      <c r="K713">
        <v>6500</v>
      </c>
      <c r="L713">
        <v>81491</v>
      </c>
      <c r="M713">
        <v>0</v>
      </c>
    </row>
    <row r="714" spans="1:13" x14ac:dyDescent="0.35">
      <c r="A714" s="1" t="s">
        <v>2774</v>
      </c>
      <c r="B714" s="1" t="s">
        <v>2775</v>
      </c>
      <c r="C714" s="1" t="s">
        <v>2776</v>
      </c>
      <c r="D714" s="1" t="s">
        <v>58</v>
      </c>
      <c r="E714" s="1" t="s">
        <v>32</v>
      </c>
      <c r="F714" s="1" t="s">
        <v>2777</v>
      </c>
      <c r="G714" s="1" t="s">
        <v>48</v>
      </c>
      <c r="H714" s="1" t="s">
        <v>42</v>
      </c>
      <c r="I714" s="1" t="s">
        <v>21</v>
      </c>
      <c r="J714" s="1" t="s">
        <v>21</v>
      </c>
      <c r="K714">
        <v>0</v>
      </c>
      <c r="L714">
        <v>3367</v>
      </c>
      <c r="M714">
        <v>0</v>
      </c>
    </row>
    <row r="715" spans="1:13" x14ac:dyDescent="0.35">
      <c r="A715" s="1" t="s">
        <v>2778</v>
      </c>
      <c r="B715" s="1" t="s">
        <v>2557</v>
      </c>
      <c r="C715" s="1" t="s">
        <v>2779</v>
      </c>
      <c r="D715" s="1" t="s">
        <v>31</v>
      </c>
      <c r="E715" s="1" t="s">
        <v>39</v>
      </c>
      <c r="F715" s="1" t="s">
        <v>2780</v>
      </c>
      <c r="G715" s="1" t="s">
        <v>34</v>
      </c>
      <c r="H715" s="1" t="s">
        <v>106</v>
      </c>
      <c r="I715" s="1" t="s">
        <v>21</v>
      </c>
      <c r="J715" s="1" t="s">
        <v>21</v>
      </c>
      <c r="K715">
        <v>7500</v>
      </c>
      <c r="L715">
        <v>1082</v>
      </c>
      <c r="M715">
        <v>0</v>
      </c>
    </row>
    <row r="716" spans="1:13" x14ac:dyDescent="0.35">
      <c r="A716" s="1" t="s">
        <v>2781</v>
      </c>
      <c r="B716" s="1" t="s">
        <v>2722</v>
      </c>
      <c r="C716" s="1" t="s">
        <v>2782</v>
      </c>
      <c r="D716" s="1" t="s">
        <v>58</v>
      </c>
      <c r="E716" s="1" t="s">
        <v>94</v>
      </c>
      <c r="F716" s="1" t="s">
        <v>2783</v>
      </c>
      <c r="G716" s="1" t="s">
        <v>126</v>
      </c>
      <c r="H716" s="1" t="s">
        <v>42</v>
      </c>
      <c r="I716" s="1" t="s">
        <v>21</v>
      </c>
      <c r="J716" s="1" t="s">
        <v>21</v>
      </c>
      <c r="K716">
        <v>1500</v>
      </c>
      <c r="L716">
        <v>1009</v>
      </c>
      <c r="M716">
        <v>0</v>
      </c>
    </row>
    <row r="717" spans="1:13" x14ac:dyDescent="0.35">
      <c r="A717" s="1" t="s">
        <v>2784</v>
      </c>
      <c r="B717" s="1" t="s">
        <v>2785</v>
      </c>
      <c r="C717" s="1" t="s">
        <v>2786</v>
      </c>
      <c r="D717" s="1" t="s">
        <v>546</v>
      </c>
      <c r="E717" s="1" t="s">
        <v>94</v>
      </c>
      <c r="F717" s="1" t="s">
        <v>2787</v>
      </c>
      <c r="G717" s="1" t="s">
        <v>41</v>
      </c>
      <c r="H717" s="1" t="s">
        <v>54</v>
      </c>
      <c r="I717" s="1" t="s">
        <v>21</v>
      </c>
      <c r="J717" s="1" t="s">
        <v>121</v>
      </c>
      <c r="K717">
        <v>1500</v>
      </c>
      <c r="L717">
        <v>4487</v>
      </c>
      <c r="M717">
        <v>1</v>
      </c>
    </row>
    <row r="718" spans="1:13" x14ac:dyDescent="0.35">
      <c r="A718" s="1" t="s">
        <v>2788</v>
      </c>
      <c r="B718" s="1" t="s">
        <v>2789</v>
      </c>
      <c r="C718" s="1" t="s">
        <v>2790</v>
      </c>
      <c r="D718" s="1" t="s">
        <v>150</v>
      </c>
      <c r="E718" s="1" t="s">
        <v>52</v>
      </c>
      <c r="F718" s="1" t="s">
        <v>2791</v>
      </c>
      <c r="G718" s="1" t="s">
        <v>41</v>
      </c>
      <c r="H718" s="1" t="s">
        <v>54</v>
      </c>
      <c r="I718" s="1" t="s">
        <v>78</v>
      </c>
      <c r="J718" s="1" t="s">
        <v>286</v>
      </c>
      <c r="K718">
        <v>6500</v>
      </c>
      <c r="L718">
        <v>3720</v>
      </c>
      <c r="M718">
        <v>0</v>
      </c>
    </row>
    <row r="719" spans="1:13" x14ac:dyDescent="0.35">
      <c r="A719" s="1" t="s">
        <v>2792</v>
      </c>
      <c r="B719" s="1" t="s">
        <v>2793</v>
      </c>
      <c r="C719" s="1" t="s">
        <v>2794</v>
      </c>
      <c r="D719" s="1" t="s">
        <v>110</v>
      </c>
      <c r="E719" s="1" t="s">
        <v>39</v>
      </c>
      <c r="F719" s="1" t="s">
        <v>2795</v>
      </c>
      <c r="G719" s="1" t="s">
        <v>41</v>
      </c>
      <c r="H719" s="1" t="s">
        <v>60</v>
      </c>
      <c r="I719" s="1" t="s">
        <v>21</v>
      </c>
      <c r="J719" s="1" t="s">
        <v>21</v>
      </c>
      <c r="K719">
        <v>7500</v>
      </c>
      <c r="L719">
        <v>4371</v>
      </c>
      <c r="M719">
        <v>0</v>
      </c>
    </row>
    <row r="720" spans="1:13" x14ac:dyDescent="0.35">
      <c r="A720" s="1" t="s">
        <v>2796</v>
      </c>
      <c r="B720" s="1" t="s">
        <v>2797</v>
      </c>
      <c r="C720" s="1" t="s">
        <v>2798</v>
      </c>
      <c r="D720" s="1" t="s">
        <v>31</v>
      </c>
      <c r="E720" s="1" t="s">
        <v>32</v>
      </c>
      <c r="F720" s="1" t="s">
        <v>2799</v>
      </c>
      <c r="G720" s="1" t="s">
        <v>126</v>
      </c>
      <c r="H720" s="1" t="s">
        <v>77</v>
      </c>
      <c r="I720" s="1" t="s">
        <v>21</v>
      </c>
      <c r="J720" s="1" t="s">
        <v>21</v>
      </c>
      <c r="K720">
        <v>0</v>
      </c>
      <c r="L720">
        <v>2397</v>
      </c>
      <c r="M720">
        <v>0</v>
      </c>
    </row>
    <row r="721" spans="1:13" x14ac:dyDescent="0.35">
      <c r="A721" s="1" t="s">
        <v>2800</v>
      </c>
      <c r="B721" s="1" t="s">
        <v>2801</v>
      </c>
      <c r="C721" s="1" t="s">
        <v>2802</v>
      </c>
      <c r="D721" s="1" t="s">
        <v>58</v>
      </c>
      <c r="E721" s="1" t="s">
        <v>52</v>
      </c>
      <c r="F721" s="1" t="s">
        <v>2803</v>
      </c>
      <c r="G721" s="1" t="s">
        <v>381</v>
      </c>
      <c r="H721" s="1" t="s">
        <v>20</v>
      </c>
      <c r="I721" s="1" t="s">
        <v>291</v>
      </c>
      <c r="J721" s="1" t="s">
        <v>21</v>
      </c>
      <c r="K721">
        <v>6500</v>
      </c>
      <c r="L721">
        <v>1412</v>
      </c>
      <c r="M721">
        <v>0</v>
      </c>
    </row>
    <row r="722" spans="1:13" x14ac:dyDescent="0.35">
      <c r="A722" s="1" t="s">
        <v>2804</v>
      </c>
      <c r="B722" s="1" t="s">
        <v>2805</v>
      </c>
      <c r="C722" s="1" t="s">
        <v>2806</v>
      </c>
      <c r="D722" s="1" t="s">
        <v>75</v>
      </c>
      <c r="E722" s="1" t="s">
        <v>32</v>
      </c>
      <c r="F722" s="1" t="s">
        <v>2807</v>
      </c>
      <c r="G722" s="1" t="s">
        <v>34</v>
      </c>
      <c r="H722" s="1" t="s">
        <v>20</v>
      </c>
      <c r="I722" s="1" t="s">
        <v>21</v>
      </c>
      <c r="J722" s="1" t="s">
        <v>226</v>
      </c>
      <c r="K722">
        <v>0</v>
      </c>
      <c r="L722">
        <v>4064</v>
      </c>
      <c r="M722">
        <v>0</v>
      </c>
    </row>
    <row r="723" spans="1:13" x14ac:dyDescent="0.35">
      <c r="A723" s="1" t="s">
        <v>2808</v>
      </c>
      <c r="B723" s="1" t="s">
        <v>2809</v>
      </c>
      <c r="C723" s="1" t="s">
        <v>2810</v>
      </c>
      <c r="D723" s="1" t="s">
        <v>25</v>
      </c>
      <c r="E723" s="1" t="s">
        <v>94</v>
      </c>
      <c r="F723" s="1" t="s">
        <v>2811</v>
      </c>
      <c r="G723" s="1" t="s">
        <v>19</v>
      </c>
      <c r="H723" s="1" t="s">
        <v>77</v>
      </c>
      <c r="I723" s="1" t="s">
        <v>21</v>
      </c>
      <c r="J723" s="1" t="s">
        <v>121</v>
      </c>
      <c r="K723">
        <v>1500</v>
      </c>
      <c r="L723">
        <v>2392</v>
      </c>
      <c r="M723">
        <v>1</v>
      </c>
    </row>
    <row r="724" spans="1:13" x14ac:dyDescent="0.35">
      <c r="A724" s="1" t="s">
        <v>2812</v>
      </c>
      <c r="B724" s="1" t="s">
        <v>2813</v>
      </c>
      <c r="C724" s="1" t="s">
        <v>2814</v>
      </c>
      <c r="D724" s="1" t="s">
        <v>16</v>
      </c>
      <c r="E724" s="1" t="s">
        <v>94</v>
      </c>
      <c r="F724" s="1" t="s">
        <v>2815</v>
      </c>
      <c r="G724" s="1" t="s">
        <v>65</v>
      </c>
      <c r="H724" s="1" t="s">
        <v>54</v>
      </c>
      <c r="I724" s="1" t="s">
        <v>21</v>
      </c>
      <c r="J724" s="1" t="s">
        <v>21</v>
      </c>
      <c r="K724">
        <v>1500</v>
      </c>
      <c r="L724">
        <v>3082</v>
      </c>
      <c r="M724">
        <v>0</v>
      </c>
    </row>
    <row r="725" spans="1:13" x14ac:dyDescent="0.35">
      <c r="A725" s="1" t="s">
        <v>2816</v>
      </c>
      <c r="B725" s="1" t="s">
        <v>474</v>
      </c>
      <c r="C725" s="1" t="s">
        <v>2817</v>
      </c>
      <c r="D725" s="1" t="s">
        <v>25</v>
      </c>
      <c r="E725" s="1" t="s">
        <v>32</v>
      </c>
      <c r="F725" s="1" t="s">
        <v>2818</v>
      </c>
      <c r="G725" s="1" t="s">
        <v>126</v>
      </c>
      <c r="H725" s="1" t="s">
        <v>54</v>
      </c>
      <c r="I725" s="1" t="s">
        <v>21</v>
      </c>
      <c r="J725" s="1" t="s">
        <v>121</v>
      </c>
      <c r="K725">
        <v>0</v>
      </c>
      <c r="L725">
        <v>1635</v>
      </c>
      <c r="M725">
        <v>0</v>
      </c>
    </row>
    <row r="726" spans="1:13" x14ac:dyDescent="0.35">
      <c r="A726" s="1" t="s">
        <v>2819</v>
      </c>
      <c r="B726" s="1" t="s">
        <v>2820</v>
      </c>
      <c r="C726" s="1" t="s">
        <v>2821</v>
      </c>
      <c r="D726" s="1" t="s">
        <v>25</v>
      </c>
      <c r="E726" s="1" t="s">
        <v>94</v>
      </c>
      <c r="F726" s="1" t="s">
        <v>2822</v>
      </c>
      <c r="G726" s="1" t="s">
        <v>485</v>
      </c>
      <c r="H726" s="1" t="s">
        <v>60</v>
      </c>
      <c r="I726" s="1" t="s">
        <v>21</v>
      </c>
      <c r="J726" s="1" t="s">
        <v>208</v>
      </c>
      <c r="K726">
        <v>1500</v>
      </c>
      <c r="L726">
        <v>1646</v>
      </c>
      <c r="M726">
        <v>0</v>
      </c>
    </row>
    <row r="727" spans="1:13" x14ac:dyDescent="0.35">
      <c r="A727" s="1" t="s">
        <v>21</v>
      </c>
      <c r="B727" s="1" t="s">
        <v>21</v>
      </c>
      <c r="C727" s="1" t="s">
        <v>2823</v>
      </c>
      <c r="D727" s="1" t="s">
        <v>25</v>
      </c>
      <c r="E727" s="1" t="s">
        <v>94</v>
      </c>
      <c r="F727" s="1" t="s">
        <v>21</v>
      </c>
      <c r="G727" s="1" t="s">
        <v>21</v>
      </c>
      <c r="H727" s="1" t="s">
        <v>106</v>
      </c>
      <c r="I727" s="1" t="s">
        <v>21</v>
      </c>
      <c r="J727" s="1" t="s">
        <v>21</v>
      </c>
      <c r="M727">
        <v>0</v>
      </c>
    </row>
    <row r="728" spans="1:13" x14ac:dyDescent="0.35">
      <c r="A728" s="1" t="s">
        <v>2824</v>
      </c>
      <c r="B728" s="1" t="s">
        <v>2825</v>
      </c>
      <c r="C728" s="1" t="s">
        <v>2826</v>
      </c>
      <c r="D728" s="1" t="s">
        <v>16</v>
      </c>
      <c r="E728" s="1" t="s">
        <v>94</v>
      </c>
      <c r="F728" s="1" t="s">
        <v>2827</v>
      </c>
      <c r="G728" s="1" t="s">
        <v>105</v>
      </c>
      <c r="H728" s="1" t="s">
        <v>60</v>
      </c>
      <c r="I728" s="1" t="s">
        <v>21</v>
      </c>
      <c r="J728" s="1" t="s">
        <v>21</v>
      </c>
      <c r="K728">
        <v>1500</v>
      </c>
      <c r="L728">
        <v>4044</v>
      </c>
      <c r="M728">
        <v>0</v>
      </c>
    </row>
    <row r="729" spans="1:13" x14ac:dyDescent="0.35">
      <c r="A729" s="1" t="s">
        <v>2828</v>
      </c>
      <c r="B729" s="1" t="s">
        <v>2829</v>
      </c>
      <c r="C729" s="1" t="s">
        <v>2830</v>
      </c>
      <c r="D729" s="1" t="s">
        <v>75</v>
      </c>
      <c r="E729" s="1" t="s">
        <v>17</v>
      </c>
      <c r="F729" s="1" t="s">
        <v>2831</v>
      </c>
      <c r="G729" s="1" t="s">
        <v>137</v>
      </c>
      <c r="H729" s="1" t="s">
        <v>106</v>
      </c>
      <c r="I729" s="1" t="s">
        <v>21</v>
      </c>
      <c r="J729" s="1" t="s">
        <v>71</v>
      </c>
      <c r="K729">
        <v>2500</v>
      </c>
      <c r="L729">
        <v>53078</v>
      </c>
      <c r="M729">
        <v>0</v>
      </c>
    </row>
    <row r="730" spans="1:13" x14ac:dyDescent="0.35">
      <c r="A730" s="1" t="s">
        <v>2832</v>
      </c>
      <c r="B730" s="1" t="s">
        <v>2833</v>
      </c>
      <c r="C730" s="1" t="s">
        <v>2834</v>
      </c>
      <c r="D730" s="1" t="s">
        <v>25</v>
      </c>
      <c r="E730" s="1" t="s">
        <v>39</v>
      </c>
      <c r="F730" s="1" t="s">
        <v>2835</v>
      </c>
      <c r="G730" s="1" t="s">
        <v>48</v>
      </c>
      <c r="H730" s="1" t="s">
        <v>42</v>
      </c>
      <c r="I730" s="1" t="s">
        <v>21</v>
      </c>
      <c r="J730" s="1" t="s">
        <v>79</v>
      </c>
      <c r="K730">
        <v>7500</v>
      </c>
      <c r="L730">
        <v>3081</v>
      </c>
      <c r="M730">
        <v>0</v>
      </c>
    </row>
    <row r="731" spans="1:13" x14ac:dyDescent="0.35">
      <c r="A731" s="1" t="s">
        <v>2836</v>
      </c>
      <c r="B731" s="1" t="s">
        <v>866</v>
      </c>
      <c r="C731" s="1" t="s">
        <v>2837</v>
      </c>
      <c r="D731" s="1" t="s">
        <v>254</v>
      </c>
      <c r="E731" s="1" t="s">
        <v>52</v>
      </c>
      <c r="F731" s="1" t="s">
        <v>2838</v>
      </c>
      <c r="G731" s="1" t="s">
        <v>105</v>
      </c>
      <c r="H731" s="1" t="s">
        <v>96</v>
      </c>
      <c r="I731" s="1" t="s">
        <v>66</v>
      </c>
      <c r="J731" s="1" t="s">
        <v>21</v>
      </c>
      <c r="K731">
        <v>6500</v>
      </c>
      <c r="L731">
        <v>3297</v>
      </c>
      <c r="M73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CAEF-E771-43C3-B918-E1F5D919CF83}">
  <dimension ref="A1:U699"/>
  <sheetViews>
    <sheetView topLeftCell="C1" workbookViewId="0">
      <selection activeCell="O7" sqref="O7"/>
    </sheetView>
  </sheetViews>
  <sheetFormatPr defaultRowHeight="14.5" x14ac:dyDescent="0.35"/>
  <cols>
    <col min="1" max="1" width="13.81640625" bestFit="1" customWidth="1"/>
    <col min="2" max="2" width="17.81640625" bestFit="1" customWidth="1"/>
    <col min="3" max="3" width="13.1796875" bestFit="1" customWidth="1"/>
    <col min="4" max="4" width="17.26953125" bestFit="1" customWidth="1"/>
    <col min="5" max="5" width="16.08984375" bestFit="1" customWidth="1"/>
    <col min="6" max="6" width="12.36328125" bestFit="1" customWidth="1"/>
    <col min="7" max="7" width="9.6328125" bestFit="1" customWidth="1"/>
    <col min="8" max="8" width="9.81640625" bestFit="1" customWidth="1"/>
    <col min="9" max="9" width="14.08984375" bestFit="1" customWidth="1"/>
    <col min="10" max="10" width="11.81640625" bestFit="1" customWidth="1"/>
    <col min="11" max="11" width="14" bestFit="1" customWidth="1"/>
    <col min="12" max="12" width="19.81640625" bestFit="1" customWidth="1"/>
    <col min="13" max="13" width="18.08984375" bestFit="1" customWidth="1"/>
    <col min="14" max="14" width="14.54296875" bestFit="1" customWidth="1"/>
    <col min="15" max="15" width="16.1796875" bestFit="1" customWidth="1"/>
    <col min="16" max="16" width="16.36328125" style="6" bestFit="1" customWidth="1"/>
    <col min="17" max="17" width="17.08984375" bestFit="1" customWidth="1"/>
    <col min="18" max="18" width="10.08984375" style="8" bestFit="1" customWidth="1"/>
    <col min="19" max="19" width="14.453125" bestFit="1" customWidth="1"/>
    <col min="21" max="21" width="14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2848</v>
      </c>
      <c r="O1" t="s">
        <v>2854</v>
      </c>
      <c r="P1" s="7" t="s">
        <v>2856</v>
      </c>
      <c r="Q1" t="s">
        <v>2864</v>
      </c>
      <c r="R1" s="8" t="s">
        <v>2865</v>
      </c>
      <c r="S1" t="s">
        <v>2866</v>
      </c>
      <c r="T1" t="s">
        <v>2867</v>
      </c>
      <c r="U1" t="s">
        <v>2868</v>
      </c>
    </row>
    <row r="2" spans="1:21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>
        <v>2500</v>
      </c>
      <c r="L2">
        <v>1122</v>
      </c>
      <c r="M2">
        <v>0</v>
      </c>
      <c r="N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" s="5" t="s">
        <v>18</v>
      </c>
      <c r="Q2" t="str">
        <f>IF(OR(digital_banking_transactions3[[#This Row],[Nominal_Bersih]]&lt;0,digital_banking_transactions3[[#This Row],[Nominal_Bersih]]=0),"Invalid","Valid")</f>
        <v>Valid</v>
      </c>
      <c r="R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45601</v>
      </c>
      <c r="S2" s="1" t="str">
        <f>TEXT(digital_banking_transactions3[[#This Row],[Tanggal_Bersih]],"MMMM YYYY")</f>
        <v>November 2024</v>
      </c>
      <c r="T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" spans="1:21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17</v>
      </c>
      <c r="F3" s="1">
        <v>214002</v>
      </c>
      <c r="G3" s="1" t="s">
        <v>27</v>
      </c>
      <c r="H3" s="1" t="s">
        <v>20</v>
      </c>
      <c r="I3" s="1" t="s">
        <v>21</v>
      </c>
      <c r="J3" s="1" t="s">
        <v>21</v>
      </c>
      <c r="K3">
        <v>2500</v>
      </c>
      <c r="L3">
        <v>670</v>
      </c>
      <c r="M3">
        <v>0</v>
      </c>
      <c r="N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" s="5">
        <v>214002</v>
      </c>
      <c r="Q3" t="str">
        <f>IF(OR(digital_banking_transactions3[[#This Row],[Nominal_Bersih]]&lt;0,digital_banking_transactions3[[#This Row],[Nominal_Bersih]]=0),"Invalid","Valid")</f>
        <v>Valid</v>
      </c>
      <c r="R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45497</v>
      </c>
      <c r="S3" s="1" t="str">
        <f>TEXT(digital_banking_transactions3[[#This Row],[Tanggal_Bersih]],"MMMM YYYY")</f>
        <v>July 2024</v>
      </c>
      <c r="T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" spans="1:21" x14ac:dyDescent="0.3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21</v>
      </c>
      <c r="J4" s="1" t="s">
        <v>21</v>
      </c>
      <c r="K4">
        <v>0</v>
      </c>
      <c r="L4">
        <v>848</v>
      </c>
      <c r="M4">
        <v>1</v>
      </c>
      <c r="N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" s="5" t="s">
        <v>33</v>
      </c>
      <c r="Q4" t="str">
        <f>IF(OR(digital_banking_transactions3[[#This Row],[Nominal_Bersih]]&lt;0,digital_banking_transactions3[[#This Row],[Nominal_Bersih]]=0),"Invalid","Valid")</f>
        <v>Valid</v>
      </c>
      <c r="R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45600</v>
      </c>
      <c r="S4" s="1" t="str">
        <f>TEXT(digital_banking_transactions3[[#This Row],[Tanggal_Bersih]],"MMMM YYYY")</f>
        <v>November 2024</v>
      </c>
      <c r="T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" spans="1:21" x14ac:dyDescent="0.35">
      <c r="A5" s="1" t="s">
        <v>36</v>
      </c>
      <c r="B5" s="1" t="s">
        <v>37</v>
      </c>
      <c r="C5" s="1" t="s">
        <v>38</v>
      </c>
      <c r="D5" s="1" t="s">
        <v>25</v>
      </c>
      <c r="E5" s="1" t="s">
        <v>39</v>
      </c>
      <c r="F5" s="1">
        <v>30009400</v>
      </c>
      <c r="G5" s="1" t="s">
        <v>41</v>
      </c>
      <c r="H5" s="1" t="s">
        <v>42</v>
      </c>
      <c r="I5" s="1" t="s">
        <v>21</v>
      </c>
      <c r="J5" s="1" t="s">
        <v>21</v>
      </c>
      <c r="K5">
        <v>7500</v>
      </c>
      <c r="L5">
        <v>1578</v>
      </c>
      <c r="M5">
        <v>0</v>
      </c>
      <c r="N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" s="5">
        <v>30009400</v>
      </c>
      <c r="Q5" t="str">
        <f>IF(OR(digital_banking_transactions3[[#This Row],[Nominal_Bersih]]&lt;0,digital_banking_transactions3[[#This Row],[Nominal_Bersih]]=0),"Invalid","Valid")</f>
        <v>Valid</v>
      </c>
      <c r="R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45452</v>
      </c>
      <c r="S5" s="1" t="str">
        <f>TEXT(digital_banking_transactions3[[#This Row],[Tanggal_Bersih]],"MMMM YYYY")</f>
        <v>June 2024</v>
      </c>
      <c r="T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" spans="1:21" x14ac:dyDescent="0.35">
      <c r="A6" s="1" t="s">
        <v>43</v>
      </c>
      <c r="B6" s="1" t="s">
        <v>44</v>
      </c>
      <c r="C6" s="1" t="s">
        <v>45</v>
      </c>
      <c r="D6" s="1" t="s">
        <v>46</v>
      </c>
      <c r="E6" s="1" t="s">
        <v>39</v>
      </c>
      <c r="F6" s="1" t="s">
        <v>47</v>
      </c>
      <c r="G6" s="1" t="s">
        <v>48</v>
      </c>
      <c r="H6" s="1" t="s">
        <v>35</v>
      </c>
      <c r="I6" s="1" t="s">
        <v>21</v>
      </c>
      <c r="J6" s="1" t="s">
        <v>21</v>
      </c>
      <c r="K6">
        <v>7500</v>
      </c>
      <c r="L6">
        <v>3890</v>
      </c>
      <c r="M6">
        <v>0</v>
      </c>
      <c r="N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" s="5" t="s">
        <v>47</v>
      </c>
      <c r="Q6" t="str">
        <f>IF(OR(digital_banking_transactions3[[#This Row],[Nominal_Bersih]]&lt;0,digital_banking_transactions3[[#This Row],[Nominal_Bersih]]=0),"Invalid","Valid")</f>
        <v>Valid</v>
      </c>
      <c r="R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45329</v>
      </c>
      <c r="S6" s="1" t="str">
        <f>TEXT(digital_banking_transactions3[[#This Row],[Tanggal_Bersih]],"MMMM YYYY")</f>
        <v>February 2024</v>
      </c>
      <c r="T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7" spans="1:21" x14ac:dyDescent="0.35">
      <c r="A7" s="1" t="s">
        <v>49</v>
      </c>
      <c r="B7" s="1" t="s">
        <v>50</v>
      </c>
      <c r="C7" s="1" t="s">
        <v>51</v>
      </c>
      <c r="D7" s="1" t="s">
        <v>25</v>
      </c>
      <c r="E7" s="1" t="s">
        <v>52</v>
      </c>
      <c r="F7" s="1" t="s">
        <v>53</v>
      </c>
      <c r="G7" s="1" t="s">
        <v>48</v>
      </c>
      <c r="H7" s="1" t="s">
        <v>54</v>
      </c>
      <c r="I7" s="1" t="s">
        <v>21</v>
      </c>
      <c r="J7" s="1" t="s">
        <v>21</v>
      </c>
      <c r="K7">
        <v>6500</v>
      </c>
      <c r="M7">
        <v>0</v>
      </c>
      <c r="N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7" s="5" t="s">
        <v>53</v>
      </c>
      <c r="Q7" t="str">
        <f>IF(OR(digital_banking_transactions3[[#This Row],[Nominal_Bersih]]&lt;0,digital_banking_transactions3[[#This Row],[Nominal_Bersih]]=0),"Invalid","Valid")</f>
        <v>Valid</v>
      </c>
      <c r="R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45610</v>
      </c>
      <c r="S7" s="1" t="str">
        <f>TEXT(digital_banking_transactions3[[#This Row],[Tanggal_Bersih]],"MMMM YYYY")</f>
        <v>November 2024</v>
      </c>
      <c r="T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8" spans="1:21" x14ac:dyDescent="0.35">
      <c r="A8" s="1" t="s">
        <v>55</v>
      </c>
      <c r="B8" s="1" t="s">
        <v>56</v>
      </c>
      <c r="C8" s="1" t="s">
        <v>57</v>
      </c>
      <c r="D8" s="1" t="s">
        <v>58</v>
      </c>
      <c r="E8" s="1" t="s">
        <v>39</v>
      </c>
      <c r="F8" s="1" t="s">
        <v>59</v>
      </c>
      <c r="G8" s="1" t="s">
        <v>41</v>
      </c>
      <c r="H8" s="1" t="s">
        <v>60</v>
      </c>
      <c r="I8" s="1" t="s">
        <v>21</v>
      </c>
      <c r="J8" s="1" t="s">
        <v>21</v>
      </c>
      <c r="K8">
        <v>7500</v>
      </c>
      <c r="L8">
        <v>3162</v>
      </c>
      <c r="M8">
        <v>0</v>
      </c>
      <c r="N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8" s="5" t="s">
        <v>59</v>
      </c>
      <c r="Q8" t="str">
        <f>IF(OR(digital_banking_transactions3[[#This Row],[Nominal_Bersih]]&lt;0,digital_banking_transactions3[[#This Row],[Nominal_Bersih]]=0),"Invalid","Valid")</f>
        <v>Valid</v>
      </c>
      <c r="R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45649</v>
      </c>
      <c r="S8" s="1" t="str">
        <f>TEXT(digital_banking_transactions3[[#This Row],[Tanggal_Bersih]],"MMMM YYYY")</f>
        <v>December 2024</v>
      </c>
      <c r="T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9" spans="1:21" x14ac:dyDescent="0.35">
      <c r="A9" s="1" t="s">
        <v>61</v>
      </c>
      <c r="B9" s="1" t="s">
        <v>62</v>
      </c>
      <c r="C9" s="1" t="s">
        <v>63</v>
      </c>
      <c r="D9" s="1" t="s">
        <v>16</v>
      </c>
      <c r="E9" s="1" t="s">
        <v>52</v>
      </c>
      <c r="F9" s="4">
        <v>41538485</v>
      </c>
      <c r="G9" s="1" t="s">
        <v>65</v>
      </c>
      <c r="H9" s="1" t="s">
        <v>60</v>
      </c>
      <c r="I9" s="1" t="s">
        <v>66</v>
      </c>
      <c r="J9" s="1" t="s">
        <v>21</v>
      </c>
      <c r="K9">
        <v>6500</v>
      </c>
      <c r="L9">
        <v>81563</v>
      </c>
      <c r="M9">
        <v>0</v>
      </c>
      <c r="N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9" s="5">
        <v>41538485</v>
      </c>
      <c r="Q9" t="str">
        <f>IF(OR(digital_banking_transactions3[[#This Row],[Nominal_Bersih]]&lt;0,digital_banking_transactions3[[#This Row],[Nominal_Bersih]]=0),"Invalid","Valid")</f>
        <v>Valid</v>
      </c>
      <c r="R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45645</v>
      </c>
      <c r="S9" s="1" t="str">
        <f>TEXT(digital_banking_transactions3[[#This Row],[Tanggal_Bersih]],"MMMM YYYY")</f>
        <v>December 2024</v>
      </c>
      <c r="T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10" spans="1:21" x14ac:dyDescent="0.35">
      <c r="A10" s="1" t="s">
        <v>67</v>
      </c>
      <c r="B10" s="1" t="s">
        <v>68</v>
      </c>
      <c r="C10" s="1" t="s">
        <v>69</v>
      </c>
      <c r="D10" s="1" t="s">
        <v>25</v>
      </c>
      <c r="E10" s="1" t="s">
        <v>17</v>
      </c>
      <c r="F10" s="1">
        <v>454108</v>
      </c>
      <c r="G10" s="1" t="s">
        <v>65</v>
      </c>
      <c r="H10" s="1" t="s">
        <v>35</v>
      </c>
      <c r="I10" s="1" t="s">
        <v>21</v>
      </c>
      <c r="J10" s="1" t="s">
        <v>71</v>
      </c>
      <c r="K10">
        <v>2500</v>
      </c>
      <c r="L10">
        <v>2204</v>
      </c>
      <c r="M10">
        <v>0</v>
      </c>
      <c r="N1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0" s="5">
        <v>454108</v>
      </c>
      <c r="Q10" t="str">
        <f>IF(OR(digital_banking_transactions3[[#This Row],[Nominal_Bersih]]&lt;0,digital_banking_transactions3[[#This Row],[Nominal_Bersih]]=0),"Invalid","Valid")</f>
        <v>Valid</v>
      </c>
      <c r="R1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45553</v>
      </c>
      <c r="S10" s="1" t="str">
        <f>TEXT(digital_banking_transactions3[[#This Row],[Tanggal_Bersih]],"MMMM YYYY")</f>
        <v>September 2024</v>
      </c>
      <c r="T1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1" spans="1:21" x14ac:dyDescent="0.35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52</v>
      </c>
      <c r="F11" s="4">
        <v>15269138</v>
      </c>
      <c r="G11" s="1" t="s">
        <v>41</v>
      </c>
      <c r="H11" s="1" t="s">
        <v>77</v>
      </c>
      <c r="I11" s="1" t="s">
        <v>78</v>
      </c>
      <c r="J11" s="1" t="s">
        <v>79</v>
      </c>
      <c r="K11">
        <v>6500</v>
      </c>
      <c r="L11">
        <v>4678</v>
      </c>
      <c r="M11">
        <v>0</v>
      </c>
      <c r="N1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1" s="5">
        <v>15269138</v>
      </c>
      <c r="Q11" t="str">
        <f>IF(OR(digital_banking_transactions3[[#This Row],[Nominal_Bersih]]&lt;0,digital_banking_transactions3[[#This Row],[Nominal_Bersih]]=0),"Invalid","Valid")</f>
        <v>Valid</v>
      </c>
      <c r="R1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45613</v>
      </c>
      <c r="S11" s="1" t="str">
        <f>TEXT(digital_banking_transactions3[[#This Row],[Tanggal_Bersih]],"MMMM YYYY")</f>
        <v>November 2024</v>
      </c>
      <c r="T1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2" spans="1:21" x14ac:dyDescent="0.35">
      <c r="A12" s="1" t="s">
        <v>80</v>
      </c>
      <c r="B12" s="1" t="s">
        <v>81</v>
      </c>
      <c r="C12" s="1" t="s">
        <v>82</v>
      </c>
      <c r="D12" s="1" t="s">
        <v>58</v>
      </c>
      <c r="E12" s="1" t="s">
        <v>52</v>
      </c>
      <c r="F12" s="1" t="s">
        <v>83</v>
      </c>
      <c r="G12" s="1" t="s">
        <v>41</v>
      </c>
      <c r="H12" s="1" t="s">
        <v>20</v>
      </c>
      <c r="I12" s="1" t="s">
        <v>84</v>
      </c>
      <c r="J12" s="1" t="s">
        <v>21</v>
      </c>
      <c r="K12">
        <v>6500</v>
      </c>
      <c r="L12">
        <v>276</v>
      </c>
      <c r="M12">
        <v>1</v>
      </c>
      <c r="N1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2" s="5" t="s">
        <v>83</v>
      </c>
      <c r="Q12" t="str">
        <f>IF(OR(digital_banking_transactions3[[#This Row],[Nominal_Bersih]]&lt;0,digital_banking_transactions3[[#This Row],[Nominal_Bersih]]=0),"Invalid","Valid")</f>
        <v>Valid</v>
      </c>
      <c r="R1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45365</v>
      </c>
      <c r="S12" s="1" t="str">
        <f>TEXT(digital_banking_transactions3[[#This Row],[Tanggal_Bersih]],"MMMM YYYY")</f>
        <v>March 2024</v>
      </c>
      <c r="T1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3" spans="1:21" x14ac:dyDescent="0.35">
      <c r="A13" s="1" t="s">
        <v>85</v>
      </c>
      <c r="B13" s="1" t="s">
        <v>86</v>
      </c>
      <c r="C13" s="1" t="s">
        <v>87</v>
      </c>
      <c r="D13" s="1" t="s">
        <v>25</v>
      </c>
      <c r="E13" s="1" t="s">
        <v>39</v>
      </c>
      <c r="F13" s="1">
        <v>17917700</v>
      </c>
      <c r="G13" s="1" t="s">
        <v>89</v>
      </c>
      <c r="H13" s="1" t="s">
        <v>42</v>
      </c>
      <c r="I13" s="1" t="s">
        <v>21</v>
      </c>
      <c r="J13" s="1" t="s">
        <v>71</v>
      </c>
      <c r="K13">
        <v>7500</v>
      </c>
      <c r="L13">
        <v>740</v>
      </c>
      <c r="M13">
        <v>0</v>
      </c>
      <c r="N1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3" s="5">
        <v>17917700</v>
      </c>
      <c r="Q13" t="str">
        <f>IF(OR(digital_banking_transactions3[[#This Row],[Nominal_Bersih]]&lt;0,digital_banking_transactions3[[#This Row],[Nominal_Bersih]]=0),"Invalid","Valid")</f>
        <v>Valid</v>
      </c>
      <c r="R1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45632</v>
      </c>
      <c r="S13" s="1" t="str">
        <f>TEXT(digital_banking_transactions3[[#This Row],[Tanggal_Bersih]],"MMMM YYYY")</f>
        <v>December 2024</v>
      </c>
      <c r="T1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4" spans="1:21" x14ac:dyDescent="0.35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>
        <v>482493</v>
      </c>
      <c r="G14" s="1" t="s">
        <v>65</v>
      </c>
      <c r="H14" s="1" t="s">
        <v>96</v>
      </c>
      <c r="I14" s="1" t="s">
        <v>21</v>
      </c>
      <c r="J14" s="1" t="s">
        <v>79</v>
      </c>
      <c r="K14">
        <v>1500</v>
      </c>
      <c r="L14">
        <v>4885</v>
      </c>
      <c r="M14">
        <v>0</v>
      </c>
      <c r="N1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4" s="5">
        <v>482493</v>
      </c>
      <c r="Q14" t="str">
        <f>IF(OR(digital_banking_transactions3[[#This Row],[Nominal_Bersih]]&lt;0,digital_banking_transactions3[[#This Row],[Nominal_Bersih]]=0),"Invalid","Valid")</f>
        <v>Valid</v>
      </c>
      <c r="R1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45410</v>
      </c>
      <c r="S14" s="1" t="str">
        <f>TEXT(digital_banking_transactions3[[#This Row],[Tanggal_Bersih]],"MMMM YYYY")</f>
        <v>April 2024</v>
      </c>
      <c r="T1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5" spans="1:21" x14ac:dyDescent="0.35">
      <c r="A15" s="1" t="s">
        <v>97</v>
      </c>
      <c r="B15" s="1" t="s">
        <v>98</v>
      </c>
      <c r="C15" s="1" t="s">
        <v>99</v>
      </c>
      <c r="D15" s="1" t="s">
        <v>58</v>
      </c>
      <c r="E15" s="1" t="s">
        <v>17</v>
      </c>
      <c r="F15" s="4">
        <v>1926175</v>
      </c>
      <c r="G15" s="1" t="s">
        <v>41</v>
      </c>
      <c r="H15" s="1" t="s">
        <v>42</v>
      </c>
      <c r="I15" s="1" t="s">
        <v>21</v>
      </c>
      <c r="J15" s="1" t="s">
        <v>21</v>
      </c>
      <c r="K15">
        <v>2500</v>
      </c>
      <c r="L15">
        <v>2590</v>
      </c>
      <c r="M15">
        <v>0</v>
      </c>
      <c r="N1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5" s="5">
        <v>1926175</v>
      </c>
      <c r="Q15" t="str">
        <f>IF(OR(digital_banking_transactions3[[#This Row],[Nominal_Bersih]]&lt;0,digital_banking_transactions3[[#This Row],[Nominal_Bersih]]=0),"Invalid","Valid")</f>
        <v>Valid</v>
      </c>
      <c r="R1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45455</v>
      </c>
      <c r="S15" s="1" t="str">
        <f>TEXT(digital_banking_transactions3[[#This Row],[Tanggal_Bersih]],"MMMM YYYY")</f>
        <v>June 2024</v>
      </c>
      <c r="T1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6" spans="1:21" x14ac:dyDescent="0.35">
      <c r="A16" s="1" t="s">
        <v>101</v>
      </c>
      <c r="B16" s="1" t="s">
        <v>102</v>
      </c>
      <c r="C16" s="1" t="s">
        <v>103</v>
      </c>
      <c r="D16" s="1" t="s">
        <v>75</v>
      </c>
      <c r="E16" s="1" t="s">
        <v>94</v>
      </c>
      <c r="F16" s="1" t="s">
        <v>104</v>
      </c>
      <c r="G16" s="1" t="s">
        <v>105</v>
      </c>
      <c r="H16" s="1" t="s">
        <v>106</v>
      </c>
      <c r="I16" s="1" t="s">
        <v>21</v>
      </c>
      <c r="J16" s="1" t="s">
        <v>71</v>
      </c>
      <c r="K16">
        <v>1500</v>
      </c>
      <c r="L16">
        <v>4682</v>
      </c>
      <c r="M16">
        <v>1</v>
      </c>
      <c r="N1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6" s="5" t="s">
        <v>104</v>
      </c>
      <c r="Q16" t="str">
        <f>IF(OR(digital_banking_transactions3[[#This Row],[Nominal_Bersih]]&lt;0,digital_banking_transactions3[[#This Row],[Nominal_Bersih]]=0),"Invalid","Valid")</f>
        <v>Valid</v>
      </c>
      <c r="R1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45594</v>
      </c>
      <c r="S16" s="1" t="str">
        <f>TEXT(digital_banking_transactions3[[#This Row],[Tanggal_Bersih]],"MMMM YYYY")</f>
        <v>October 2024</v>
      </c>
      <c r="T1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7" spans="1:21" x14ac:dyDescent="0.35">
      <c r="A17" s="1" t="s">
        <v>107</v>
      </c>
      <c r="B17" s="1" t="s">
        <v>108</v>
      </c>
      <c r="C17" s="1" t="s">
        <v>109</v>
      </c>
      <c r="D17" s="1" t="s">
        <v>110</v>
      </c>
      <c r="E17" s="1" t="s">
        <v>52</v>
      </c>
      <c r="F17" s="1">
        <v>471525</v>
      </c>
      <c r="G17" s="1" t="s">
        <v>105</v>
      </c>
      <c r="H17" s="1" t="s">
        <v>77</v>
      </c>
      <c r="I17" s="1" t="s">
        <v>112</v>
      </c>
      <c r="J17" s="1" t="s">
        <v>21</v>
      </c>
      <c r="K17">
        <v>6500</v>
      </c>
      <c r="L17">
        <v>504</v>
      </c>
      <c r="M17">
        <v>0</v>
      </c>
      <c r="N1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7" s="5">
        <v>471525</v>
      </c>
      <c r="Q17" t="str">
        <f>IF(OR(digital_banking_transactions3[[#This Row],[Nominal_Bersih]]&lt;0,digital_banking_transactions3[[#This Row],[Nominal_Bersih]]=0),"Invalid","Valid")</f>
        <v>Valid</v>
      </c>
      <c r="R1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45364</v>
      </c>
      <c r="S17" s="1" t="str">
        <f>TEXT(digital_banking_transactions3[[#This Row],[Tanggal_Bersih]],"MMMM YYYY")</f>
        <v>March 2024</v>
      </c>
      <c r="T1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8" spans="1:21" x14ac:dyDescent="0.35">
      <c r="A18" s="1" t="s">
        <v>113</v>
      </c>
      <c r="B18" s="1" t="s">
        <v>114</v>
      </c>
      <c r="C18" s="1" t="s">
        <v>115</v>
      </c>
      <c r="D18" s="1" t="s">
        <v>58</v>
      </c>
      <c r="E18" s="1" t="s">
        <v>94</v>
      </c>
      <c r="F18" s="1">
        <v>419022600</v>
      </c>
      <c r="G18" s="1" t="s">
        <v>65</v>
      </c>
      <c r="H18" s="1" t="s">
        <v>60</v>
      </c>
      <c r="I18" s="1" t="s">
        <v>21</v>
      </c>
      <c r="J18" s="1" t="s">
        <v>21</v>
      </c>
      <c r="K18">
        <v>1500</v>
      </c>
      <c r="L18">
        <v>3808</v>
      </c>
      <c r="M18">
        <v>0</v>
      </c>
      <c r="N1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8" s="5">
        <v>419022600</v>
      </c>
      <c r="Q18" t="str">
        <f>IF(OR(digital_banking_transactions3[[#This Row],[Nominal_Bersih]]&lt;0,digital_banking_transactions3[[#This Row],[Nominal_Bersih]]=0),"Invalid","Valid")</f>
        <v>Valid</v>
      </c>
      <c r="R1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45449</v>
      </c>
      <c r="S18" s="1" t="str">
        <f>TEXT(digital_banking_transactions3[[#This Row],[Tanggal_Bersih]],"MMMM YYYY")</f>
        <v>June 2024</v>
      </c>
      <c r="T1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9" spans="1:21" x14ac:dyDescent="0.35">
      <c r="A19" s="1" t="s">
        <v>117</v>
      </c>
      <c r="B19" s="1" t="s">
        <v>118</v>
      </c>
      <c r="C19" s="1" t="s">
        <v>119</v>
      </c>
      <c r="D19" s="1" t="s">
        <v>25</v>
      </c>
      <c r="E19" s="1" t="s">
        <v>52</v>
      </c>
      <c r="F19" s="1">
        <v>2041319</v>
      </c>
      <c r="G19" s="1" t="s">
        <v>27</v>
      </c>
      <c r="H19" s="1" t="s">
        <v>60</v>
      </c>
      <c r="I19" s="1" t="s">
        <v>66</v>
      </c>
      <c r="J19" s="1" t="s">
        <v>121</v>
      </c>
      <c r="K19">
        <v>6500</v>
      </c>
      <c r="L19">
        <v>4118</v>
      </c>
      <c r="M19">
        <v>0</v>
      </c>
      <c r="N1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9" s="5">
        <v>2041319</v>
      </c>
      <c r="Q19" t="str">
        <f>IF(OR(digital_banking_transactions3[[#This Row],[Nominal_Bersih]]&lt;0,digital_banking_transactions3[[#This Row],[Nominal_Bersih]]=0),"Invalid","Valid")</f>
        <v>Valid</v>
      </c>
      <c r="R1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45600</v>
      </c>
      <c r="S19" s="1" t="str">
        <f>TEXT(digital_banking_transactions3[[#This Row],[Tanggal_Bersih]],"MMMM YYYY")</f>
        <v>November 2024</v>
      </c>
      <c r="T1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0" spans="1:21" x14ac:dyDescent="0.35">
      <c r="A20" s="1" t="s">
        <v>122</v>
      </c>
      <c r="B20" s="1" t="s">
        <v>123</v>
      </c>
      <c r="C20" s="1" t="s">
        <v>124</v>
      </c>
      <c r="D20" s="1" t="s">
        <v>93</v>
      </c>
      <c r="E20" s="1" t="s">
        <v>52</v>
      </c>
      <c r="F20" s="4">
        <v>12410893</v>
      </c>
      <c r="G20" s="1" t="s">
        <v>126</v>
      </c>
      <c r="H20" s="1" t="s">
        <v>96</v>
      </c>
      <c r="I20" s="1" t="s">
        <v>66</v>
      </c>
      <c r="J20" s="1" t="s">
        <v>79</v>
      </c>
      <c r="K20">
        <v>6500</v>
      </c>
      <c r="L20">
        <v>2580</v>
      </c>
      <c r="M20">
        <v>0</v>
      </c>
      <c r="N2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0" s="5">
        <v>12410893</v>
      </c>
      <c r="Q20" t="str">
        <f>IF(OR(digital_banking_transactions3[[#This Row],[Nominal_Bersih]]&lt;0,digital_banking_transactions3[[#This Row],[Nominal_Bersih]]=0),"Invalid","Valid")</f>
        <v>Valid</v>
      </c>
      <c r="R2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45572</v>
      </c>
      <c r="S20" s="1" t="str">
        <f>TEXT(digital_banking_transactions3[[#This Row],[Tanggal_Bersih]],"MMMM YYYY")</f>
        <v>October 2024</v>
      </c>
      <c r="T2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1" spans="1:21" x14ac:dyDescent="0.35">
      <c r="A21" s="1" t="s">
        <v>127</v>
      </c>
      <c r="B21" s="1" t="s">
        <v>128</v>
      </c>
      <c r="C21" s="1" t="s">
        <v>129</v>
      </c>
      <c r="D21" s="1" t="s">
        <v>25</v>
      </c>
      <c r="E21" s="1" t="s">
        <v>52</v>
      </c>
      <c r="F21" s="1">
        <v>636767900</v>
      </c>
      <c r="G21" s="1" t="s">
        <v>65</v>
      </c>
      <c r="H21" s="1" t="s">
        <v>42</v>
      </c>
      <c r="I21" s="1" t="s">
        <v>131</v>
      </c>
      <c r="J21" s="1" t="s">
        <v>71</v>
      </c>
      <c r="K21">
        <v>6500</v>
      </c>
      <c r="L21">
        <v>2755</v>
      </c>
      <c r="M21">
        <v>0</v>
      </c>
      <c r="N2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1" s="5">
        <v>636767900</v>
      </c>
      <c r="Q21" t="str">
        <f>IF(OR(digital_banking_transactions3[[#This Row],[Nominal_Bersih]]&lt;0,digital_banking_transactions3[[#This Row],[Nominal_Bersih]]=0),"Invalid","Valid")</f>
        <v>Valid</v>
      </c>
      <c r="R2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45318</v>
      </c>
      <c r="S21" s="1" t="str">
        <f>TEXT(digital_banking_transactions3[[#This Row],[Tanggal_Bersih]],"MMMM YYYY")</f>
        <v>January 2024</v>
      </c>
      <c r="T2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2" spans="1:21" x14ac:dyDescent="0.35">
      <c r="A22" s="1" t="s">
        <v>132</v>
      </c>
      <c r="B22" s="1" t="s">
        <v>133</v>
      </c>
      <c r="C22" s="1" t="s">
        <v>134</v>
      </c>
      <c r="D22" s="1" t="s">
        <v>135</v>
      </c>
      <c r="E22" s="1" t="s">
        <v>52</v>
      </c>
      <c r="F22" s="1">
        <v>467411</v>
      </c>
      <c r="G22" s="1" t="s">
        <v>137</v>
      </c>
      <c r="H22" s="1" t="s">
        <v>60</v>
      </c>
      <c r="I22" s="1" t="s">
        <v>138</v>
      </c>
      <c r="J22" s="1" t="s">
        <v>79</v>
      </c>
      <c r="L22">
        <v>686</v>
      </c>
      <c r="M22">
        <v>0</v>
      </c>
      <c r="N2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2" s="5">
        <v>467411</v>
      </c>
      <c r="Q22" t="str">
        <f>IF(OR(digital_banking_transactions3[[#This Row],[Nominal_Bersih]]&lt;0,digital_banking_transactions3[[#This Row],[Nominal_Bersih]]=0),"Invalid","Valid")</f>
        <v>Valid</v>
      </c>
      <c r="R2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45406</v>
      </c>
      <c r="S22" s="1" t="str">
        <f>TEXT(digital_banking_transactions3[[#This Row],[Tanggal_Bersih]],"MMMM YYYY")</f>
        <v>April 2024</v>
      </c>
      <c r="T2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3" spans="1:21" x14ac:dyDescent="0.35">
      <c r="A23" s="1" t="s">
        <v>139</v>
      </c>
      <c r="B23" s="1" t="s">
        <v>140</v>
      </c>
      <c r="C23" s="1" t="s">
        <v>141</v>
      </c>
      <c r="D23" s="1" t="s">
        <v>25</v>
      </c>
      <c r="E23" s="1" t="s">
        <v>17</v>
      </c>
      <c r="F23" s="1">
        <v>40880011</v>
      </c>
      <c r="G23" s="1" t="s">
        <v>89</v>
      </c>
      <c r="H23" s="1" t="s">
        <v>106</v>
      </c>
      <c r="I23" s="1" t="s">
        <v>21</v>
      </c>
      <c r="J23" s="1" t="s">
        <v>71</v>
      </c>
      <c r="K23">
        <v>2500</v>
      </c>
      <c r="L23">
        <v>4483</v>
      </c>
      <c r="M23">
        <v>0</v>
      </c>
      <c r="N2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3" s="5">
        <v>40880011</v>
      </c>
      <c r="Q23" t="str">
        <f>IF(OR(digital_banking_transactions3[[#This Row],[Nominal_Bersih]]&lt;0,digital_banking_transactions3[[#This Row],[Nominal_Bersih]]=0),"Invalid","Valid")</f>
        <v>Valid</v>
      </c>
      <c r="R2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45533</v>
      </c>
      <c r="S23" s="1" t="str">
        <f>TEXT(digital_banking_transactions3[[#This Row],[Tanggal_Bersih]],"MMMM YYYY")</f>
        <v>August 2024</v>
      </c>
      <c r="T2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4" spans="1:21" x14ac:dyDescent="0.35">
      <c r="A24" s="1" t="s">
        <v>143</v>
      </c>
      <c r="B24" s="1" t="s">
        <v>144</v>
      </c>
      <c r="C24" s="1" t="s">
        <v>145</v>
      </c>
      <c r="D24" s="1" t="s">
        <v>58</v>
      </c>
      <c r="E24" s="1" t="s">
        <v>94</v>
      </c>
      <c r="F24" s="1">
        <v>2989328</v>
      </c>
      <c r="G24" s="1" t="s">
        <v>41</v>
      </c>
      <c r="H24" s="1" t="s">
        <v>42</v>
      </c>
      <c r="I24" s="1" t="s">
        <v>21</v>
      </c>
      <c r="J24" s="1" t="s">
        <v>21</v>
      </c>
      <c r="K24">
        <v>1500</v>
      </c>
      <c r="L24">
        <v>1874</v>
      </c>
      <c r="M24">
        <v>0</v>
      </c>
      <c r="N2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4" s="5">
        <v>2989328</v>
      </c>
      <c r="Q24" t="str">
        <f>IF(OR(digital_banking_transactions3[[#This Row],[Nominal_Bersih]]&lt;0,digital_banking_transactions3[[#This Row],[Nominal_Bersih]]=0),"Invalid","Valid")</f>
        <v>Valid</v>
      </c>
      <c r="R2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45509</v>
      </c>
      <c r="S24" s="1" t="str">
        <f>TEXT(digital_banking_transactions3[[#This Row],[Tanggal_Bersih]],"MMMM YYYY")</f>
        <v>August 2024</v>
      </c>
      <c r="T2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5" spans="1:21" x14ac:dyDescent="0.35">
      <c r="A25" s="1" t="s">
        <v>147</v>
      </c>
      <c r="B25" s="1" t="s">
        <v>148</v>
      </c>
      <c r="C25" s="1" t="s">
        <v>149</v>
      </c>
      <c r="D25" s="1" t="s">
        <v>150</v>
      </c>
      <c r="E25" s="1" t="s">
        <v>52</v>
      </c>
      <c r="F25" s="1" t="s">
        <v>151</v>
      </c>
      <c r="G25" s="1" t="s">
        <v>41</v>
      </c>
      <c r="H25" s="1" t="s">
        <v>60</v>
      </c>
      <c r="I25" s="1" t="s">
        <v>112</v>
      </c>
      <c r="J25" s="1" t="s">
        <v>121</v>
      </c>
      <c r="K25">
        <v>6500</v>
      </c>
      <c r="L25">
        <v>59309</v>
      </c>
      <c r="M25">
        <v>0</v>
      </c>
      <c r="N2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5" s="5" t="s">
        <v>151</v>
      </c>
      <c r="Q25" t="str">
        <f>IF(OR(digital_banking_transactions3[[#This Row],[Nominal_Bersih]]&lt;0,digital_banking_transactions3[[#This Row],[Nominal_Bersih]]=0),"Invalid","Valid")</f>
        <v>Valid</v>
      </c>
      <c r="R2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45595</v>
      </c>
      <c r="S25" s="1" t="str">
        <f>TEXT(digital_banking_transactions3[[#This Row],[Tanggal_Bersih]],"MMMM YYYY")</f>
        <v>October 2024</v>
      </c>
      <c r="T2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26" spans="1:21" x14ac:dyDescent="0.35">
      <c r="A26" s="1" t="s">
        <v>152</v>
      </c>
      <c r="B26" s="1" t="s">
        <v>153</v>
      </c>
      <c r="C26" s="1" t="s">
        <v>154</v>
      </c>
      <c r="D26" s="1" t="s">
        <v>58</v>
      </c>
      <c r="E26" s="1" t="s">
        <v>39</v>
      </c>
      <c r="F26" s="1">
        <v>460985</v>
      </c>
      <c r="G26" s="1" t="s">
        <v>65</v>
      </c>
      <c r="H26" s="1" t="s">
        <v>35</v>
      </c>
      <c r="I26" s="1" t="s">
        <v>21</v>
      </c>
      <c r="J26" s="1" t="s">
        <v>21</v>
      </c>
      <c r="K26">
        <v>7500</v>
      </c>
      <c r="M26">
        <v>1</v>
      </c>
      <c r="N2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6" s="5">
        <v>460985</v>
      </c>
      <c r="Q26" t="str">
        <f>IF(OR(digital_banking_transactions3[[#This Row],[Nominal_Bersih]]&lt;0,digital_banking_transactions3[[#This Row],[Nominal_Bersih]]=0),"Invalid","Valid")</f>
        <v>Valid</v>
      </c>
      <c r="R2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45528</v>
      </c>
      <c r="S26" s="1" t="str">
        <f>TEXT(digital_banking_transactions3[[#This Row],[Tanggal_Bersih]],"MMMM YYYY")</f>
        <v>August 2024</v>
      </c>
      <c r="T2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27" spans="1:21" x14ac:dyDescent="0.35">
      <c r="A27" s="1" t="s">
        <v>156</v>
      </c>
      <c r="B27" s="1" t="s">
        <v>157</v>
      </c>
      <c r="C27" s="1" t="s">
        <v>158</v>
      </c>
      <c r="D27" s="1" t="s">
        <v>16</v>
      </c>
      <c r="E27" s="1" t="s">
        <v>52</v>
      </c>
      <c r="F27" s="1">
        <v>3809931</v>
      </c>
      <c r="G27" s="1" t="s">
        <v>41</v>
      </c>
      <c r="H27" s="1" t="s">
        <v>42</v>
      </c>
      <c r="I27" s="1" t="s">
        <v>112</v>
      </c>
      <c r="J27" s="1" t="s">
        <v>21</v>
      </c>
      <c r="L27">
        <v>2013</v>
      </c>
      <c r="M27">
        <v>1</v>
      </c>
      <c r="N2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7" s="5">
        <v>3809931</v>
      </c>
      <c r="Q27" t="str">
        <f>IF(OR(digital_banking_transactions3[[#This Row],[Nominal_Bersih]]&lt;0,digital_banking_transactions3[[#This Row],[Nominal_Bersih]]=0),"Invalid","Valid")</f>
        <v>Valid</v>
      </c>
      <c r="R2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45330</v>
      </c>
      <c r="S27" s="1" t="str">
        <f>TEXT(digital_banking_transactions3[[#This Row],[Tanggal_Bersih]],"MMMM YYYY")</f>
        <v>February 2024</v>
      </c>
      <c r="T2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8" spans="1:21" x14ac:dyDescent="0.35">
      <c r="A28" s="1" t="s">
        <v>160</v>
      </c>
      <c r="B28" s="1" t="s">
        <v>161</v>
      </c>
      <c r="C28" s="1" t="s">
        <v>162</v>
      </c>
      <c r="D28" s="1" t="s">
        <v>25</v>
      </c>
      <c r="E28" s="1" t="s">
        <v>52</v>
      </c>
      <c r="F28" s="1">
        <v>7404640</v>
      </c>
      <c r="G28" s="1" t="s">
        <v>41</v>
      </c>
      <c r="H28" s="1" t="s">
        <v>35</v>
      </c>
      <c r="I28" s="1" t="s">
        <v>112</v>
      </c>
      <c r="J28" s="1" t="s">
        <v>79</v>
      </c>
      <c r="K28">
        <v>6500</v>
      </c>
      <c r="L28">
        <v>4788</v>
      </c>
      <c r="M28">
        <v>0</v>
      </c>
      <c r="N2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8" s="5">
        <v>7404640</v>
      </c>
      <c r="Q28" t="str">
        <f>IF(OR(digital_banking_transactions3[[#This Row],[Nominal_Bersih]]&lt;0,digital_banking_transactions3[[#This Row],[Nominal_Bersih]]=0),"Invalid","Valid")</f>
        <v>Valid</v>
      </c>
      <c r="R2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45547</v>
      </c>
      <c r="S28" s="1" t="str">
        <f>TEXT(digital_banking_transactions3[[#This Row],[Tanggal_Bersih]],"MMMM YYYY")</f>
        <v>September 2024</v>
      </c>
      <c r="T2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9" spans="1:21" x14ac:dyDescent="0.35">
      <c r="A29" s="1" t="s">
        <v>164</v>
      </c>
      <c r="B29" s="1" t="s">
        <v>165</v>
      </c>
      <c r="C29" s="1" t="s">
        <v>166</v>
      </c>
      <c r="D29" s="1" t="s">
        <v>167</v>
      </c>
      <c r="E29" s="1" t="s">
        <v>39</v>
      </c>
      <c r="F29" s="1" t="s">
        <v>168</v>
      </c>
      <c r="G29" s="1" t="s">
        <v>27</v>
      </c>
      <c r="H29" s="1" t="s">
        <v>77</v>
      </c>
      <c r="I29" s="1" t="s">
        <v>21</v>
      </c>
      <c r="J29" s="1" t="s">
        <v>21</v>
      </c>
      <c r="K29">
        <v>7500</v>
      </c>
      <c r="L29">
        <v>3490</v>
      </c>
      <c r="M29">
        <v>0</v>
      </c>
      <c r="N2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9" s="5" t="s">
        <v>168</v>
      </c>
      <c r="Q29" t="str">
        <f>IF(OR(digital_banking_transactions3[[#This Row],[Nominal_Bersih]]&lt;0,digital_banking_transactions3[[#This Row],[Nominal_Bersih]]=0),"Invalid","Valid")</f>
        <v>Valid</v>
      </c>
      <c r="R2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45371</v>
      </c>
      <c r="S29" s="1" t="str">
        <f>TEXT(digital_banking_transactions3[[#This Row],[Tanggal_Bersih]],"MMMM YYYY")</f>
        <v>March 2024</v>
      </c>
      <c r="T2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0" spans="1:21" x14ac:dyDescent="0.35">
      <c r="A30" s="1" t="s">
        <v>169</v>
      </c>
      <c r="B30" s="1" t="s">
        <v>170</v>
      </c>
      <c r="C30" s="1" t="s">
        <v>171</v>
      </c>
      <c r="D30" s="1" t="s">
        <v>25</v>
      </c>
      <c r="E30" s="1" t="s">
        <v>39</v>
      </c>
      <c r="F30" s="4">
        <v>9892963</v>
      </c>
      <c r="G30" s="1" t="s">
        <v>137</v>
      </c>
      <c r="H30" s="1" t="s">
        <v>20</v>
      </c>
      <c r="I30" s="1" t="s">
        <v>21</v>
      </c>
      <c r="J30" s="1" t="s">
        <v>79</v>
      </c>
      <c r="K30">
        <v>7500</v>
      </c>
      <c r="L30">
        <v>3820</v>
      </c>
      <c r="M30">
        <v>0</v>
      </c>
      <c r="N3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0" s="5">
        <v>9892963</v>
      </c>
      <c r="Q30" t="str">
        <f>IF(OR(digital_banking_transactions3[[#This Row],[Nominal_Bersih]]&lt;0,digital_banking_transactions3[[#This Row],[Nominal_Bersih]]=0),"Invalid","Valid")</f>
        <v>Valid</v>
      </c>
      <c r="R3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45420</v>
      </c>
      <c r="S30" s="1" t="str">
        <f>TEXT(digital_banking_transactions3[[#This Row],[Tanggal_Bersih]],"MMMM YYYY")</f>
        <v>May 2024</v>
      </c>
      <c r="T3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1" spans="1:21" x14ac:dyDescent="0.35">
      <c r="A31" s="1" t="s">
        <v>175</v>
      </c>
      <c r="B31" s="1" t="s">
        <v>176</v>
      </c>
      <c r="C31" s="1" t="s">
        <v>177</v>
      </c>
      <c r="D31" s="1" t="s">
        <v>25</v>
      </c>
      <c r="E31" s="1" t="s">
        <v>17</v>
      </c>
      <c r="F31" s="4">
        <v>391346</v>
      </c>
      <c r="G31" s="1" t="s">
        <v>65</v>
      </c>
      <c r="H31" s="1" t="s">
        <v>20</v>
      </c>
      <c r="I31" s="1" t="s">
        <v>21</v>
      </c>
      <c r="J31" s="1" t="s">
        <v>71</v>
      </c>
      <c r="K31">
        <v>2500</v>
      </c>
      <c r="L31">
        <v>491</v>
      </c>
      <c r="M31">
        <v>1</v>
      </c>
      <c r="N3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1" s="5">
        <v>391346</v>
      </c>
      <c r="Q31" t="str">
        <f>IF(OR(digital_banking_transactions3[[#This Row],[Nominal_Bersih]]&lt;0,digital_banking_transactions3[[#This Row],[Nominal_Bersih]]=0),"Invalid","Valid")</f>
        <v>Valid</v>
      </c>
      <c r="R3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45336</v>
      </c>
      <c r="S31" s="1" t="str">
        <f>TEXT(digital_banking_transactions3[[#This Row],[Tanggal_Bersih]],"MMMM YYYY")</f>
        <v>February 2024</v>
      </c>
      <c r="T3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2" spans="1:21" x14ac:dyDescent="0.35">
      <c r="A32" s="1" t="s">
        <v>179</v>
      </c>
      <c r="B32" s="1" t="s">
        <v>180</v>
      </c>
      <c r="C32" s="1" t="s">
        <v>181</v>
      </c>
      <c r="D32" s="1" t="s">
        <v>25</v>
      </c>
      <c r="E32" s="1" t="s">
        <v>17</v>
      </c>
      <c r="F32" s="1" t="s">
        <v>182</v>
      </c>
      <c r="G32" s="1" t="s">
        <v>65</v>
      </c>
      <c r="H32" s="1" t="s">
        <v>42</v>
      </c>
      <c r="I32" s="1" t="s">
        <v>21</v>
      </c>
      <c r="J32" s="1" t="s">
        <v>71</v>
      </c>
      <c r="K32">
        <v>2500</v>
      </c>
      <c r="L32">
        <v>4036</v>
      </c>
      <c r="M32">
        <v>1</v>
      </c>
      <c r="N3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2" s="5" t="s">
        <v>182</v>
      </c>
      <c r="Q32" t="str">
        <f>IF(OR(digital_banking_transactions3[[#This Row],[Nominal_Bersih]]&lt;0,digital_banking_transactions3[[#This Row],[Nominal_Bersih]]=0),"Invalid","Valid")</f>
        <v>Valid</v>
      </c>
      <c r="R3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45379</v>
      </c>
      <c r="S32" s="1" t="str">
        <f>TEXT(digital_banking_transactions3[[#This Row],[Tanggal_Bersih]],"MMMM YYYY")</f>
        <v>March 2024</v>
      </c>
      <c r="T3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3" spans="1:21" x14ac:dyDescent="0.35">
      <c r="A33" s="1" t="s">
        <v>183</v>
      </c>
      <c r="B33" s="1" t="s">
        <v>184</v>
      </c>
      <c r="C33" s="1" t="s">
        <v>185</v>
      </c>
      <c r="D33" s="1" t="s">
        <v>25</v>
      </c>
      <c r="E33" s="1" t="s">
        <v>52</v>
      </c>
      <c r="F33" s="4">
        <v>20320126</v>
      </c>
      <c r="G33" s="1" t="s">
        <v>105</v>
      </c>
      <c r="H33" s="1" t="s">
        <v>42</v>
      </c>
      <c r="I33" s="1" t="s">
        <v>138</v>
      </c>
      <c r="J33" s="1" t="s">
        <v>79</v>
      </c>
      <c r="K33">
        <v>6500</v>
      </c>
      <c r="L33">
        <v>2666</v>
      </c>
      <c r="M33">
        <v>0</v>
      </c>
      <c r="N3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3" s="5">
        <v>20320126</v>
      </c>
      <c r="Q33" t="str">
        <f>IF(OR(digital_banking_transactions3[[#This Row],[Nominal_Bersih]]&lt;0,digital_banking_transactions3[[#This Row],[Nominal_Bersih]]=0),"Invalid","Valid")</f>
        <v>Valid</v>
      </c>
      <c r="R3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45590</v>
      </c>
      <c r="S33" s="1" t="str">
        <f>TEXT(digital_banking_transactions3[[#This Row],[Tanggal_Bersih]],"MMMM YYYY")</f>
        <v>October 2024</v>
      </c>
      <c r="T3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4" spans="1:21" x14ac:dyDescent="0.35">
      <c r="A34" s="1" t="s">
        <v>187</v>
      </c>
      <c r="B34" s="1" t="s">
        <v>188</v>
      </c>
      <c r="C34" s="1" t="s">
        <v>189</v>
      </c>
      <c r="D34" s="1" t="s">
        <v>58</v>
      </c>
      <c r="E34" s="1" t="s">
        <v>94</v>
      </c>
      <c r="F34" s="1" t="s">
        <v>190</v>
      </c>
      <c r="G34" s="1" t="s">
        <v>41</v>
      </c>
      <c r="H34" s="1" t="s">
        <v>60</v>
      </c>
      <c r="I34" s="1" t="s">
        <v>21</v>
      </c>
      <c r="J34" s="1" t="s">
        <v>21</v>
      </c>
      <c r="K34">
        <v>1500</v>
      </c>
      <c r="L34">
        <v>1265</v>
      </c>
      <c r="M34">
        <v>0</v>
      </c>
      <c r="N3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4" s="5" t="s">
        <v>190</v>
      </c>
      <c r="Q34" t="str">
        <f>IF(OR(digital_banking_transactions3[[#This Row],[Nominal_Bersih]]&lt;0,digital_banking_transactions3[[#This Row],[Nominal_Bersih]]=0),"Invalid","Valid")</f>
        <v>Valid</v>
      </c>
      <c r="R3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45402</v>
      </c>
      <c r="S34" s="1" t="str">
        <f>TEXT(digital_banking_transactions3[[#This Row],[Tanggal_Bersih]],"MMMM YYYY")</f>
        <v>April 2024</v>
      </c>
      <c r="T3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5" spans="1:21" x14ac:dyDescent="0.35">
      <c r="A35" s="1" t="s">
        <v>191</v>
      </c>
      <c r="B35" s="1" t="s">
        <v>192</v>
      </c>
      <c r="C35" s="1" t="s">
        <v>193</v>
      </c>
      <c r="D35" s="1" t="s">
        <v>93</v>
      </c>
      <c r="E35" s="1" t="s">
        <v>52</v>
      </c>
      <c r="F35" s="1" t="s">
        <v>194</v>
      </c>
      <c r="G35" s="1" t="s">
        <v>195</v>
      </c>
      <c r="H35" s="1" t="s">
        <v>54</v>
      </c>
      <c r="I35" s="1" t="s">
        <v>138</v>
      </c>
      <c r="J35" s="1" t="s">
        <v>121</v>
      </c>
      <c r="K35">
        <v>6500</v>
      </c>
      <c r="L35">
        <v>4326</v>
      </c>
      <c r="M35">
        <v>0</v>
      </c>
      <c r="N3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5" s="5" t="s">
        <v>194</v>
      </c>
      <c r="Q35" t="str">
        <f>IF(OR(digital_banking_transactions3[[#This Row],[Nominal_Bersih]]&lt;0,digital_banking_transactions3[[#This Row],[Nominal_Bersih]]=0),"Invalid","Valid")</f>
        <v>Valid</v>
      </c>
      <c r="R3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45508</v>
      </c>
      <c r="S35" s="1" t="str">
        <f>TEXT(digital_banking_transactions3[[#This Row],[Tanggal_Bersih]],"MMMM YYYY")</f>
        <v>August 2024</v>
      </c>
      <c r="T3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6" spans="1:21" x14ac:dyDescent="0.35">
      <c r="A36" s="1" t="s">
        <v>196</v>
      </c>
      <c r="B36" s="1" t="s">
        <v>197</v>
      </c>
      <c r="C36" s="1" t="s">
        <v>198</v>
      </c>
      <c r="D36" s="1" t="s">
        <v>25</v>
      </c>
      <c r="E36" s="1" t="s">
        <v>32</v>
      </c>
      <c r="F36" s="1">
        <v>2804692</v>
      </c>
      <c r="G36" s="1" t="s">
        <v>27</v>
      </c>
      <c r="H36" s="1" t="s">
        <v>106</v>
      </c>
      <c r="I36" s="1" t="s">
        <v>21</v>
      </c>
      <c r="J36" s="1" t="s">
        <v>121</v>
      </c>
      <c r="K36">
        <v>0</v>
      </c>
      <c r="L36">
        <v>847</v>
      </c>
      <c r="M36">
        <v>0</v>
      </c>
      <c r="N3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6" s="5">
        <v>2804692</v>
      </c>
      <c r="Q36" t="str">
        <f>IF(OR(digital_banking_transactions3[[#This Row],[Nominal_Bersih]]&lt;0,digital_banking_transactions3[[#This Row],[Nominal_Bersih]]=0),"Invalid","Valid")</f>
        <v>Valid</v>
      </c>
      <c r="R3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45541</v>
      </c>
      <c r="S36" s="1" t="str">
        <f>TEXT(digital_banking_transactions3[[#This Row],[Tanggal_Bersih]],"MMMM YYYY")</f>
        <v>September 2024</v>
      </c>
      <c r="T3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7" spans="1:21" x14ac:dyDescent="0.35">
      <c r="A37" s="1" t="s">
        <v>200</v>
      </c>
      <c r="B37" s="1" t="s">
        <v>201</v>
      </c>
      <c r="C37" s="1" t="s">
        <v>202</v>
      </c>
      <c r="D37" s="1" t="s">
        <v>110</v>
      </c>
      <c r="E37" s="1" t="s">
        <v>17</v>
      </c>
      <c r="F37" s="1" t="s">
        <v>203</v>
      </c>
      <c r="G37" s="1" t="s">
        <v>41</v>
      </c>
      <c r="H37" s="1" t="s">
        <v>60</v>
      </c>
      <c r="I37" s="1" t="s">
        <v>21</v>
      </c>
      <c r="J37" s="1" t="s">
        <v>21</v>
      </c>
      <c r="K37">
        <v>2500</v>
      </c>
      <c r="L37">
        <v>2882</v>
      </c>
      <c r="M37">
        <v>0</v>
      </c>
      <c r="N3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7" s="5" t="s">
        <v>203</v>
      </c>
      <c r="Q37" t="str">
        <f>IF(OR(digital_banking_transactions3[[#This Row],[Nominal_Bersih]]&lt;0,digital_banking_transactions3[[#This Row],[Nominal_Bersih]]=0),"Invalid","Valid")</f>
        <v>Valid</v>
      </c>
      <c r="R3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45316</v>
      </c>
      <c r="S37" s="1" t="str">
        <f>TEXT(digital_banking_transactions3[[#This Row],[Tanggal_Bersih]],"MMMM YYYY")</f>
        <v>January 2024</v>
      </c>
      <c r="T3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8" spans="1:21" x14ac:dyDescent="0.35">
      <c r="A38" s="1" t="s">
        <v>204</v>
      </c>
      <c r="B38" s="1" t="s">
        <v>205</v>
      </c>
      <c r="C38" s="1" t="s">
        <v>206</v>
      </c>
      <c r="D38" s="1" t="s">
        <v>93</v>
      </c>
      <c r="E38" s="1" t="s">
        <v>17</v>
      </c>
      <c r="F38" s="1">
        <v>2109646</v>
      </c>
      <c r="G38" s="1" t="s">
        <v>27</v>
      </c>
      <c r="H38" s="1" t="s">
        <v>54</v>
      </c>
      <c r="I38" s="1" t="s">
        <v>21</v>
      </c>
      <c r="J38" s="1" t="s">
        <v>208</v>
      </c>
      <c r="L38">
        <v>1025</v>
      </c>
      <c r="M38">
        <v>1</v>
      </c>
      <c r="N3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8" s="5">
        <v>2109646</v>
      </c>
      <c r="Q38" t="str">
        <f>IF(OR(digital_banking_transactions3[[#This Row],[Nominal_Bersih]]&lt;0,digital_banking_transactions3[[#This Row],[Nominal_Bersih]]=0),"Invalid","Valid")</f>
        <v>Valid</v>
      </c>
      <c r="R3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45549</v>
      </c>
      <c r="S38" s="1" t="str">
        <f>TEXT(digital_banking_transactions3[[#This Row],[Tanggal_Bersih]],"MMMM YYYY")</f>
        <v>September 2024</v>
      </c>
      <c r="T3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9" spans="1:21" x14ac:dyDescent="0.35">
      <c r="A39" s="1" t="s">
        <v>210</v>
      </c>
      <c r="B39" s="1" t="s">
        <v>211</v>
      </c>
      <c r="C39" s="1" t="s">
        <v>212</v>
      </c>
      <c r="D39" s="1" t="s">
        <v>16</v>
      </c>
      <c r="E39" s="1" t="s">
        <v>39</v>
      </c>
      <c r="F39" s="1" t="s">
        <v>213</v>
      </c>
      <c r="G39" s="1" t="s">
        <v>41</v>
      </c>
      <c r="H39" s="1" t="s">
        <v>42</v>
      </c>
      <c r="I39" s="1" t="s">
        <v>21</v>
      </c>
      <c r="J39" s="1" t="s">
        <v>21</v>
      </c>
      <c r="K39">
        <v>7500</v>
      </c>
      <c r="L39">
        <v>1935</v>
      </c>
      <c r="M39">
        <v>0</v>
      </c>
      <c r="N3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9" s="5" t="s">
        <v>213</v>
      </c>
      <c r="Q39" t="str">
        <f>IF(OR(digital_banking_transactions3[[#This Row],[Nominal_Bersih]]&lt;0,digital_banking_transactions3[[#This Row],[Nominal_Bersih]]=0),"Invalid","Valid")</f>
        <v>Valid</v>
      </c>
      <c r="R3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45330</v>
      </c>
      <c r="S39" s="1" t="str">
        <f>TEXT(digital_banking_transactions3[[#This Row],[Tanggal_Bersih]],"MMMM YYYY")</f>
        <v>February 2024</v>
      </c>
      <c r="T3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0" spans="1:21" x14ac:dyDescent="0.35">
      <c r="A40" s="1" t="s">
        <v>214</v>
      </c>
      <c r="B40" s="1" t="s">
        <v>215</v>
      </c>
      <c r="C40" s="1" t="s">
        <v>216</v>
      </c>
      <c r="D40" s="1" t="s">
        <v>75</v>
      </c>
      <c r="E40" s="1" t="s">
        <v>39</v>
      </c>
      <c r="F40" s="1" t="s">
        <v>217</v>
      </c>
      <c r="G40" s="1" t="s">
        <v>65</v>
      </c>
      <c r="H40" s="1" t="s">
        <v>60</v>
      </c>
      <c r="I40" s="1" t="s">
        <v>21</v>
      </c>
      <c r="J40" s="1" t="s">
        <v>121</v>
      </c>
      <c r="K40">
        <v>7500</v>
      </c>
      <c r="L40">
        <v>2379</v>
      </c>
      <c r="M40">
        <v>0</v>
      </c>
      <c r="N4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0" s="5" t="s">
        <v>217</v>
      </c>
      <c r="Q40" t="str">
        <f>IF(OR(digital_banking_transactions3[[#This Row],[Nominal_Bersih]]&lt;0,digital_banking_transactions3[[#This Row],[Nominal_Bersih]]=0),"Invalid","Valid")</f>
        <v>Valid</v>
      </c>
      <c r="R4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45435</v>
      </c>
      <c r="S40" s="1" t="str">
        <f>TEXT(digital_banking_transactions3[[#This Row],[Tanggal_Bersih]],"MMMM YYYY")</f>
        <v>May 2024</v>
      </c>
      <c r="T4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1" spans="1:21" x14ac:dyDescent="0.35">
      <c r="A41" s="1" t="s">
        <v>218</v>
      </c>
      <c r="B41" s="1" t="s">
        <v>219</v>
      </c>
      <c r="C41" s="1" t="s">
        <v>220</v>
      </c>
      <c r="D41" s="1" t="s">
        <v>75</v>
      </c>
      <c r="E41" s="1" t="s">
        <v>39</v>
      </c>
      <c r="F41" s="4">
        <v>25754657</v>
      </c>
      <c r="G41" s="1" t="s">
        <v>126</v>
      </c>
      <c r="H41" s="1" t="s">
        <v>77</v>
      </c>
      <c r="I41" s="1" t="s">
        <v>21</v>
      </c>
      <c r="J41" s="1" t="s">
        <v>71</v>
      </c>
      <c r="K41">
        <v>7500</v>
      </c>
      <c r="L41">
        <v>939</v>
      </c>
      <c r="M41">
        <v>0</v>
      </c>
      <c r="N4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1" s="5">
        <v>25754657</v>
      </c>
      <c r="Q41" t="str">
        <f>IF(OR(digital_banking_transactions3[[#This Row],[Nominal_Bersih]]&lt;0,digital_banking_transactions3[[#This Row],[Nominal_Bersih]]=0),"Invalid","Valid")</f>
        <v>Valid</v>
      </c>
      <c r="R4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45602</v>
      </c>
      <c r="S41" s="1" t="str">
        <f>TEXT(digital_banking_transactions3[[#This Row],[Tanggal_Bersih]],"MMMM YYYY")</f>
        <v>November 2024</v>
      </c>
      <c r="T4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2" spans="1:21" x14ac:dyDescent="0.35">
      <c r="A42" s="1" t="s">
        <v>222</v>
      </c>
      <c r="B42" s="1" t="s">
        <v>223</v>
      </c>
      <c r="C42" s="1" t="s">
        <v>224</v>
      </c>
      <c r="D42" s="1" t="s">
        <v>25</v>
      </c>
      <c r="E42" s="1" t="s">
        <v>17</v>
      </c>
      <c r="F42" s="1" t="s">
        <v>225</v>
      </c>
      <c r="G42" s="1" t="s">
        <v>41</v>
      </c>
      <c r="H42" s="1" t="s">
        <v>96</v>
      </c>
      <c r="I42" s="1" t="s">
        <v>21</v>
      </c>
      <c r="J42" s="1" t="s">
        <v>226</v>
      </c>
      <c r="K42">
        <v>2500</v>
      </c>
      <c r="L42">
        <v>2386</v>
      </c>
      <c r="M42">
        <v>0</v>
      </c>
      <c r="N4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2" s="5" t="s">
        <v>225</v>
      </c>
      <c r="Q42" t="str">
        <f>IF(OR(digital_banking_transactions3[[#This Row],[Nominal_Bersih]]&lt;0,digital_banking_transactions3[[#This Row],[Nominal_Bersih]]=0),"Invalid","Valid")</f>
        <v>Valid</v>
      </c>
      <c r="R4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45581</v>
      </c>
      <c r="S42" s="1" t="str">
        <f>TEXT(digital_banking_transactions3[[#This Row],[Tanggal_Bersih]],"MMMM YYYY")</f>
        <v>October 2024</v>
      </c>
      <c r="T4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3" spans="1:21" x14ac:dyDescent="0.35">
      <c r="A43" s="1" t="s">
        <v>227</v>
      </c>
      <c r="B43" s="1" t="s">
        <v>228</v>
      </c>
      <c r="C43" s="1" t="s">
        <v>229</v>
      </c>
      <c r="D43" s="1" t="s">
        <v>58</v>
      </c>
      <c r="E43" s="1" t="s">
        <v>17</v>
      </c>
      <c r="F43" s="4">
        <v>45986</v>
      </c>
      <c r="G43" s="1" t="s">
        <v>27</v>
      </c>
      <c r="H43" s="1" t="s">
        <v>60</v>
      </c>
      <c r="I43" s="1" t="s">
        <v>21</v>
      </c>
      <c r="J43" s="1" t="s">
        <v>21</v>
      </c>
      <c r="L43">
        <v>4101</v>
      </c>
      <c r="M43">
        <v>0</v>
      </c>
      <c r="N4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3" s="5">
        <v>45986</v>
      </c>
      <c r="Q43" t="str">
        <f>IF(OR(digital_banking_transactions3[[#This Row],[Nominal_Bersih]]&lt;0,digital_banking_transactions3[[#This Row],[Nominal_Bersih]]=0),"Invalid","Valid")</f>
        <v>Valid</v>
      </c>
      <c r="R4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45478</v>
      </c>
      <c r="S43" s="1" t="str">
        <f>TEXT(digital_banking_transactions3[[#This Row],[Tanggal_Bersih]],"MMMM YYYY")</f>
        <v>July 2024</v>
      </c>
      <c r="T4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4" spans="1:21" x14ac:dyDescent="0.35">
      <c r="A44" s="1" t="s">
        <v>231</v>
      </c>
      <c r="B44" s="1" t="s">
        <v>232</v>
      </c>
      <c r="C44" s="1" t="s">
        <v>233</v>
      </c>
      <c r="D44" s="1" t="s">
        <v>25</v>
      </c>
      <c r="E44" s="1" t="s">
        <v>52</v>
      </c>
      <c r="F44" s="1" t="s">
        <v>234</v>
      </c>
      <c r="G44" s="1" t="s">
        <v>41</v>
      </c>
      <c r="H44" s="1" t="s">
        <v>42</v>
      </c>
      <c r="I44" s="1" t="s">
        <v>112</v>
      </c>
      <c r="J44" s="1" t="s">
        <v>208</v>
      </c>
      <c r="K44">
        <v>6500</v>
      </c>
      <c r="L44">
        <v>1741</v>
      </c>
      <c r="M44">
        <v>0</v>
      </c>
      <c r="N4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4" s="5" t="s">
        <v>234</v>
      </c>
      <c r="Q44" t="str">
        <f>IF(OR(digital_banking_transactions3[[#This Row],[Nominal_Bersih]]&lt;0,digital_banking_transactions3[[#This Row],[Nominal_Bersih]]=0),"Invalid","Valid")</f>
        <v>Valid</v>
      </c>
      <c r="R4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45601</v>
      </c>
      <c r="S44" s="1" t="str">
        <f>TEXT(digital_banking_transactions3[[#This Row],[Tanggal_Bersih]],"MMMM YYYY")</f>
        <v>November 2024</v>
      </c>
      <c r="T4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5" spans="1:21" x14ac:dyDescent="0.35">
      <c r="A45" s="1" t="s">
        <v>235</v>
      </c>
      <c r="B45" s="1" t="s">
        <v>236</v>
      </c>
      <c r="C45" s="1" t="s">
        <v>237</v>
      </c>
      <c r="D45" s="1" t="s">
        <v>150</v>
      </c>
      <c r="E45" s="1" t="s">
        <v>32</v>
      </c>
      <c r="F45" s="1">
        <v>42798892</v>
      </c>
      <c r="G45" s="1" t="s">
        <v>27</v>
      </c>
      <c r="H45" s="1" t="s">
        <v>35</v>
      </c>
      <c r="I45" s="1" t="s">
        <v>21</v>
      </c>
      <c r="J45" s="1" t="s">
        <v>71</v>
      </c>
      <c r="L45">
        <v>3429</v>
      </c>
      <c r="M45">
        <v>1</v>
      </c>
      <c r="N4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5" s="5">
        <v>42798892</v>
      </c>
      <c r="Q45" t="str">
        <f>IF(OR(digital_banking_transactions3[[#This Row],[Nominal_Bersih]]&lt;0,digital_banking_transactions3[[#This Row],[Nominal_Bersih]]=0),"Invalid","Valid")</f>
        <v>Valid</v>
      </c>
      <c r="R4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45470</v>
      </c>
      <c r="S45" s="1" t="str">
        <f>TEXT(digital_banking_transactions3[[#This Row],[Tanggal_Bersih]],"MMMM YYYY")</f>
        <v>June 2024</v>
      </c>
      <c r="T4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6" spans="1:21" x14ac:dyDescent="0.35">
      <c r="A46" s="1" t="s">
        <v>239</v>
      </c>
      <c r="B46" s="1" t="s">
        <v>240</v>
      </c>
      <c r="C46" s="1" t="s">
        <v>241</v>
      </c>
      <c r="D46" s="1" t="s">
        <v>135</v>
      </c>
      <c r="E46" s="1" t="s">
        <v>39</v>
      </c>
      <c r="F46" s="1" t="s">
        <v>242</v>
      </c>
      <c r="G46" s="1" t="s">
        <v>195</v>
      </c>
      <c r="H46" s="1" t="s">
        <v>106</v>
      </c>
      <c r="I46" s="1" t="s">
        <v>21</v>
      </c>
      <c r="J46" s="1" t="s">
        <v>121</v>
      </c>
      <c r="K46">
        <v>7500</v>
      </c>
      <c r="L46">
        <v>1148</v>
      </c>
      <c r="M46">
        <v>1</v>
      </c>
      <c r="N4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6" s="5" t="s">
        <v>242</v>
      </c>
      <c r="Q46" t="str">
        <f>IF(OR(digital_banking_transactions3[[#This Row],[Nominal_Bersih]]&lt;0,digital_banking_transactions3[[#This Row],[Nominal_Bersih]]=0),"Invalid","Valid")</f>
        <v>Valid</v>
      </c>
      <c r="R4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45400</v>
      </c>
      <c r="S46" s="1" t="str">
        <f>TEXT(digital_banking_transactions3[[#This Row],[Tanggal_Bersih]],"MMMM YYYY")</f>
        <v>April 2024</v>
      </c>
      <c r="T4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7" spans="1:21" x14ac:dyDescent="0.35">
      <c r="A47" s="1" t="s">
        <v>243</v>
      </c>
      <c r="B47" s="1" t="s">
        <v>244</v>
      </c>
      <c r="C47" s="1" t="s">
        <v>245</v>
      </c>
      <c r="D47" s="1" t="s">
        <v>75</v>
      </c>
      <c r="E47" s="1" t="s">
        <v>32</v>
      </c>
      <c r="F47" s="1" t="s">
        <v>246</v>
      </c>
      <c r="G47" s="1" t="s">
        <v>41</v>
      </c>
      <c r="H47" s="1" t="s">
        <v>60</v>
      </c>
      <c r="I47" s="1" t="s">
        <v>21</v>
      </c>
      <c r="J47" s="1" t="s">
        <v>79</v>
      </c>
      <c r="K47">
        <v>0</v>
      </c>
      <c r="L47">
        <v>4333</v>
      </c>
      <c r="M47">
        <v>0</v>
      </c>
      <c r="N4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7" s="5" t="s">
        <v>246</v>
      </c>
      <c r="Q47" t="str">
        <f>IF(OR(digital_banking_transactions3[[#This Row],[Nominal_Bersih]]&lt;0,digital_banking_transactions3[[#This Row],[Nominal_Bersih]]=0),"Invalid","Valid")</f>
        <v>Valid</v>
      </c>
      <c r="R4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45616</v>
      </c>
      <c r="S47" s="1" t="str">
        <f>TEXT(digital_banking_transactions3[[#This Row],[Tanggal_Bersih]],"MMMM YYYY")</f>
        <v>November 2024</v>
      </c>
      <c r="T4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8" spans="1:21" x14ac:dyDescent="0.35">
      <c r="A48" s="1" t="s">
        <v>247</v>
      </c>
      <c r="B48" s="1" t="s">
        <v>248</v>
      </c>
      <c r="C48" s="1" t="s">
        <v>249</v>
      </c>
      <c r="D48" s="1" t="s">
        <v>16</v>
      </c>
      <c r="E48" s="1" t="s">
        <v>39</v>
      </c>
      <c r="F48" s="1">
        <v>5953147</v>
      </c>
      <c r="G48" s="1" t="s">
        <v>65</v>
      </c>
      <c r="H48" s="1" t="s">
        <v>106</v>
      </c>
      <c r="I48" s="1" t="s">
        <v>21</v>
      </c>
      <c r="J48" s="1" t="s">
        <v>21</v>
      </c>
      <c r="K48">
        <v>7500</v>
      </c>
      <c r="L48">
        <v>4520</v>
      </c>
      <c r="M48">
        <v>1</v>
      </c>
      <c r="N4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8" s="5">
        <v>5953147</v>
      </c>
      <c r="Q48" t="str">
        <f>IF(OR(digital_banking_transactions3[[#This Row],[Nominal_Bersih]]&lt;0,digital_banking_transactions3[[#This Row],[Nominal_Bersih]]=0),"Invalid","Valid")</f>
        <v>Valid</v>
      </c>
      <c r="R4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45334</v>
      </c>
      <c r="S48" s="1" t="str">
        <f>TEXT(digital_banking_transactions3[[#This Row],[Tanggal_Bersih]],"MMMM YYYY")</f>
        <v>February 2024</v>
      </c>
      <c r="T4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9" spans="1:21" x14ac:dyDescent="0.35">
      <c r="A49" s="1" t="s">
        <v>251</v>
      </c>
      <c r="B49" s="1" t="s">
        <v>252</v>
      </c>
      <c r="C49" s="1" t="s">
        <v>253</v>
      </c>
      <c r="D49" s="1" t="s">
        <v>254</v>
      </c>
      <c r="E49" s="1" t="s">
        <v>32</v>
      </c>
      <c r="F49" s="1">
        <v>399499</v>
      </c>
      <c r="G49" s="1" t="s">
        <v>126</v>
      </c>
      <c r="H49" s="1" t="s">
        <v>54</v>
      </c>
      <c r="I49" s="1" t="s">
        <v>21</v>
      </c>
      <c r="J49" s="1" t="s">
        <v>71</v>
      </c>
      <c r="K49">
        <v>0</v>
      </c>
      <c r="L49">
        <v>4191</v>
      </c>
      <c r="M49">
        <v>0</v>
      </c>
      <c r="N4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9" s="5">
        <v>399499</v>
      </c>
      <c r="Q49" t="str">
        <f>IF(OR(digital_banking_transactions3[[#This Row],[Nominal_Bersih]]&lt;0,digital_banking_transactions3[[#This Row],[Nominal_Bersih]]=0),"Invalid","Valid")</f>
        <v>Valid</v>
      </c>
      <c r="R4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45613</v>
      </c>
      <c r="S49" s="1" t="str">
        <f>TEXT(digital_banking_transactions3[[#This Row],[Tanggal_Bersih]],"MMMM YYYY")</f>
        <v>November 2024</v>
      </c>
      <c r="T4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0" spans="1:21" x14ac:dyDescent="0.35">
      <c r="A50" s="1" t="s">
        <v>256</v>
      </c>
      <c r="B50" s="1" t="s">
        <v>257</v>
      </c>
      <c r="C50" s="1" t="s">
        <v>258</v>
      </c>
      <c r="D50" s="1" t="s">
        <v>58</v>
      </c>
      <c r="E50" s="1" t="s">
        <v>39</v>
      </c>
      <c r="F50" s="1">
        <v>334804300</v>
      </c>
      <c r="G50" s="1" t="s">
        <v>65</v>
      </c>
      <c r="H50" s="1" t="s">
        <v>42</v>
      </c>
      <c r="I50" s="1" t="s">
        <v>21</v>
      </c>
      <c r="J50" s="1" t="s">
        <v>21</v>
      </c>
      <c r="K50">
        <v>7500</v>
      </c>
      <c r="L50">
        <v>1816</v>
      </c>
      <c r="M50">
        <v>0</v>
      </c>
      <c r="N5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0" s="5">
        <v>334804300</v>
      </c>
      <c r="Q50" t="str">
        <f>IF(OR(digital_banking_transactions3[[#This Row],[Nominal_Bersih]]&lt;0,digital_banking_transactions3[[#This Row],[Nominal_Bersih]]=0),"Invalid","Valid")</f>
        <v>Valid</v>
      </c>
      <c r="R5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45346</v>
      </c>
      <c r="S50" s="1" t="str">
        <f>TEXT(digital_banking_transactions3[[#This Row],[Tanggal_Bersih]],"MMMM YYYY")</f>
        <v>February 2024</v>
      </c>
      <c r="T5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1" spans="1:21" x14ac:dyDescent="0.35">
      <c r="A51" s="1" t="s">
        <v>260</v>
      </c>
      <c r="B51" s="1" t="s">
        <v>261</v>
      </c>
      <c r="C51" s="1" t="s">
        <v>262</v>
      </c>
      <c r="D51" s="1" t="s">
        <v>58</v>
      </c>
      <c r="E51" s="1" t="s">
        <v>52</v>
      </c>
      <c r="F51" s="1" t="s">
        <v>263</v>
      </c>
      <c r="G51" s="1" t="s">
        <v>264</v>
      </c>
      <c r="H51" s="1" t="s">
        <v>54</v>
      </c>
      <c r="I51" s="1" t="s">
        <v>112</v>
      </c>
      <c r="J51" s="1" t="s">
        <v>21</v>
      </c>
      <c r="K51">
        <v>6500</v>
      </c>
      <c r="L51">
        <v>1589</v>
      </c>
      <c r="M51">
        <v>1</v>
      </c>
      <c r="N5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1" s="5" t="s">
        <v>263</v>
      </c>
      <c r="Q51" t="str">
        <f>IF(OR(digital_banking_transactions3[[#This Row],[Nominal_Bersih]]&lt;0,digital_banking_transactions3[[#This Row],[Nominal_Bersih]]=0),"Invalid","Valid")</f>
        <v>Valid</v>
      </c>
      <c r="R5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45359</v>
      </c>
      <c r="S51" s="1" t="str">
        <f>TEXT(digital_banking_transactions3[[#This Row],[Tanggal_Bersih]],"MMMM YYYY")</f>
        <v>March 2024</v>
      </c>
      <c r="T5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2" spans="1:21" x14ac:dyDescent="0.35">
      <c r="A52" s="1" t="s">
        <v>265</v>
      </c>
      <c r="B52" s="1" t="s">
        <v>266</v>
      </c>
      <c r="C52" s="1" t="s">
        <v>267</v>
      </c>
      <c r="D52" s="1" t="s">
        <v>150</v>
      </c>
      <c r="E52" s="1" t="s">
        <v>39</v>
      </c>
      <c r="F52" s="1">
        <v>3756807400</v>
      </c>
      <c r="G52" s="1" t="s">
        <v>41</v>
      </c>
      <c r="H52" s="1" t="s">
        <v>42</v>
      </c>
      <c r="I52" s="1" t="s">
        <v>21</v>
      </c>
      <c r="J52" s="1" t="s">
        <v>21</v>
      </c>
      <c r="K52">
        <v>7500</v>
      </c>
      <c r="L52">
        <v>4742</v>
      </c>
      <c r="M52">
        <v>0</v>
      </c>
      <c r="N5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2" s="5">
        <v>3756807400</v>
      </c>
      <c r="Q52" t="str">
        <f>IF(OR(digital_banking_transactions3[[#This Row],[Nominal_Bersih]]&lt;0,digital_banking_transactions3[[#This Row],[Nominal_Bersih]]=0),"Invalid","Valid")</f>
        <v>Valid</v>
      </c>
      <c r="R5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45516</v>
      </c>
      <c r="S52" s="1" t="str">
        <f>TEXT(digital_banking_transactions3[[#This Row],[Tanggal_Bersih]],"MMMM YYYY")</f>
        <v>August 2024</v>
      </c>
      <c r="T5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3" spans="1:21" x14ac:dyDescent="0.35">
      <c r="A53" s="1" t="s">
        <v>269</v>
      </c>
      <c r="B53" s="1" t="s">
        <v>270</v>
      </c>
      <c r="C53" s="1" t="s">
        <v>271</v>
      </c>
      <c r="D53" s="1" t="s">
        <v>46</v>
      </c>
      <c r="E53" s="1" t="s">
        <v>52</v>
      </c>
      <c r="F53" s="1" t="s">
        <v>272</v>
      </c>
      <c r="G53" s="1" t="s">
        <v>264</v>
      </c>
      <c r="H53" s="1" t="s">
        <v>106</v>
      </c>
      <c r="I53" s="1" t="s">
        <v>138</v>
      </c>
      <c r="J53" s="1" t="s">
        <v>21</v>
      </c>
      <c r="K53">
        <v>6500</v>
      </c>
      <c r="L53">
        <v>80003</v>
      </c>
      <c r="M53">
        <v>0</v>
      </c>
      <c r="N5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3" s="5" t="s">
        <v>272</v>
      </c>
      <c r="Q53" t="str">
        <f>IF(OR(digital_banking_transactions3[[#This Row],[Nominal_Bersih]]&lt;0,digital_banking_transactions3[[#This Row],[Nominal_Bersih]]=0),"Invalid","Valid")</f>
        <v>Valid</v>
      </c>
      <c r="R5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45547</v>
      </c>
      <c r="S53" s="1" t="str">
        <f>TEXT(digital_banking_transactions3[[#This Row],[Tanggal_Bersih]],"MMMM YYYY")</f>
        <v>September 2024</v>
      </c>
      <c r="T5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54" spans="1:21" x14ac:dyDescent="0.35">
      <c r="A54" s="1" t="s">
        <v>273</v>
      </c>
      <c r="B54" s="1" t="s">
        <v>274</v>
      </c>
      <c r="C54" s="1" t="s">
        <v>275</v>
      </c>
      <c r="D54" s="1" t="s">
        <v>93</v>
      </c>
      <c r="E54" s="1" t="s">
        <v>32</v>
      </c>
      <c r="F54" s="1">
        <v>205975700</v>
      </c>
      <c r="G54" s="1" t="s">
        <v>137</v>
      </c>
      <c r="H54" s="1" t="s">
        <v>77</v>
      </c>
      <c r="I54" s="1" t="s">
        <v>21</v>
      </c>
      <c r="J54" s="1" t="s">
        <v>79</v>
      </c>
      <c r="K54">
        <v>0</v>
      </c>
      <c r="L54">
        <v>459</v>
      </c>
      <c r="M54">
        <v>0</v>
      </c>
      <c r="N5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4" s="5">
        <v>205975700</v>
      </c>
      <c r="Q54" t="str">
        <f>IF(OR(digital_banking_transactions3[[#This Row],[Nominal_Bersih]]&lt;0,digital_banking_transactions3[[#This Row],[Nominal_Bersih]]=0),"Invalid","Valid")</f>
        <v>Valid</v>
      </c>
      <c r="R5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45650</v>
      </c>
      <c r="S54" s="1" t="str">
        <f>TEXT(digital_banking_transactions3[[#This Row],[Tanggal_Bersih]],"MMMM YYYY")</f>
        <v>December 2024</v>
      </c>
      <c r="T5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5" spans="1:21" x14ac:dyDescent="0.35">
      <c r="A55" s="1" t="s">
        <v>277</v>
      </c>
      <c r="B55" s="1" t="s">
        <v>278</v>
      </c>
      <c r="C55" s="1" t="s">
        <v>279</v>
      </c>
      <c r="D55" s="1" t="s">
        <v>167</v>
      </c>
      <c r="E55" s="1" t="s">
        <v>94</v>
      </c>
      <c r="F55" s="1">
        <v>393490</v>
      </c>
      <c r="G55" s="1" t="s">
        <v>137</v>
      </c>
      <c r="H55" s="1" t="s">
        <v>20</v>
      </c>
      <c r="I55" s="1" t="s">
        <v>21</v>
      </c>
      <c r="J55" s="1" t="s">
        <v>21</v>
      </c>
      <c r="L55">
        <v>1786</v>
      </c>
      <c r="M55">
        <v>0</v>
      </c>
      <c r="N5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5" s="5">
        <v>393490</v>
      </c>
      <c r="Q55" t="str">
        <f>IF(OR(digital_banking_transactions3[[#This Row],[Nominal_Bersih]]&lt;0,digital_banking_transactions3[[#This Row],[Nominal_Bersih]]=0),"Invalid","Valid")</f>
        <v>Valid</v>
      </c>
      <c r="R5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45581</v>
      </c>
      <c r="S55" s="1" t="str">
        <f>TEXT(digital_banking_transactions3[[#This Row],[Tanggal_Bersih]],"MMMM YYYY")</f>
        <v>October 2024</v>
      </c>
      <c r="T5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6" spans="1:21" x14ac:dyDescent="0.35">
      <c r="A56" s="1" t="s">
        <v>281</v>
      </c>
      <c r="B56" s="1" t="s">
        <v>282</v>
      </c>
      <c r="C56" s="1" t="s">
        <v>283</v>
      </c>
      <c r="D56" s="1" t="s">
        <v>284</v>
      </c>
      <c r="E56" s="1" t="s">
        <v>39</v>
      </c>
      <c r="F56" s="1" t="s">
        <v>285</v>
      </c>
      <c r="G56" s="1" t="s">
        <v>105</v>
      </c>
      <c r="H56" s="1" t="s">
        <v>96</v>
      </c>
      <c r="I56" s="1" t="s">
        <v>21</v>
      </c>
      <c r="J56" s="1" t="s">
        <v>286</v>
      </c>
      <c r="K56">
        <v>7500</v>
      </c>
      <c r="L56">
        <v>2186</v>
      </c>
      <c r="M56">
        <v>0</v>
      </c>
      <c r="N5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6" s="5" t="s">
        <v>285</v>
      </c>
      <c r="Q56" t="str">
        <f>IF(OR(digital_banking_transactions3[[#This Row],[Nominal_Bersih]]&lt;0,digital_banking_transactions3[[#This Row],[Nominal_Bersih]]=0),"Invalid","Valid")</f>
        <v>Valid</v>
      </c>
      <c r="R5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45369</v>
      </c>
      <c r="S56" s="1" t="str">
        <f>TEXT(digital_banking_transactions3[[#This Row],[Tanggal_Bersih]],"MMMM YYYY")</f>
        <v>March 2024</v>
      </c>
      <c r="T5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7" spans="1:21" x14ac:dyDescent="0.35">
      <c r="A57" s="1" t="s">
        <v>287</v>
      </c>
      <c r="B57" s="1" t="s">
        <v>288</v>
      </c>
      <c r="C57" s="1" t="s">
        <v>289</v>
      </c>
      <c r="D57" s="1" t="s">
        <v>75</v>
      </c>
      <c r="E57" s="1" t="s">
        <v>52</v>
      </c>
      <c r="F57" s="1">
        <v>30454100</v>
      </c>
      <c r="G57" s="1" t="s">
        <v>65</v>
      </c>
      <c r="H57" s="1" t="s">
        <v>42</v>
      </c>
      <c r="I57" s="1" t="s">
        <v>291</v>
      </c>
      <c r="J57" s="1" t="s">
        <v>79</v>
      </c>
      <c r="K57">
        <v>6500</v>
      </c>
      <c r="L57">
        <v>4369</v>
      </c>
      <c r="M57">
        <v>0</v>
      </c>
      <c r="N5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7" s="5">
        <v>30454100</v>
      </c>
      <c r="Q57" t="str">
        <f>IF(OR(digital_banking_transactions3[[#This Row],[Nominal_Bersih]]&lt;0,digital_banking_transactions3[[#This Row],[Nominal_Bersih]]=0),"Invalid","Valid")</f>
        <v>Valid</v>
      </c>
      <c r="R5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45585</v>
      </c>
      <c r="S57" s="1" t="str">
        <f>TEXT(digital_banking_transactions3[[#This Row],[Tanggal_Bersih]],"MMMM YYYY")</f>
        <v>October 2024</v>
      </c>
      <c r="T5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8" spans="1:21" x14ac:dyDescent="0.35">
      <c r="A58" s="1" t="s">
        <v>292</v>
      </c>
      <c r="B58" s="1" t="s">
        <v>293</v>
      </c>
      <c r="C58" s="1" t="s">
        <v>294</v>
      </c>
      <c r="D58" s="1" t="s">
        <v>135</v>
      </c>
      <c r="E58" s="1" t="s">
        <v>52</v>
      </c>
      <c r="F58" s="1" t="s">
        <v>295</v>
      </c>
      <c r="G58" s="1" t="s">
        <v>41</v>
      </c>
      <c r="H58" s="1" t="s">
        <v>60</v>
      </c>
      <c r="I58" s="1" t="s">
        <v>112</v>
      </c>
      <c r="J58" s="1" t="s">
        <v>21</v>
      </c>
      <c r="K58">
        <v>6500</v>
      </c>
      <c r="L58">
        <v>4773</v>
      </c>
      <c r="M58">
        <v>0</v>
      </c>
      <c r="N5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8" s="5" t="s">
        <v>295</v>
      </c>
      <c r="Q58" t="str">
        <f>IF(OR(digital_banking_transactions3[[#This Row],[Nominal_Bersih]]&lt;0,digital_banking_transactions3[[#This Row],[Nominal_Bersih]]=0),"Invalid","Valid")</f>
        <v>Valid</v>
      </c>
      <c r="R5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45349</v>
      </c>
      <c r="S58" s="1" t="str">
        <f>TEXT(digital_banking_transactions3[[#This Row],[Tanggal_Bersih]],"MMMM YYYY")</f>
        <v>February 2024</v>
      </c>
      <c r="T5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9" spans="1:21" x14ac:dyDescent="0.35">
      <c r="A59" s="1" t="s">
        <v>296</v>
      </c>
      <c r="B59" s="1" t="s">
        <v>297</v>
      </c>
      <c r="C59" s="1" t="s">
        <v>298</v>
      </c>
      <c r="D59" s="1" t="s">
        <v>25</v>
      </c>
      <c r="E59" s="1" t="s">
        <v>52</v>
      </c>
      <c r="F59" s="1">
        <v>23895749</v>
      </c>
      <c r="G59" s="1" t="s">
        <v>126</v>
      </c>
      <c r="H59" s="1" t="s">
        <v>35</v>
      </c>
      <c r="I59" s="1" t="s">
        <v>21</v>
      </c>
      <c r="J59" s="1" t="s">
        <v>71</v>
      </c>
      <c r="L59">
        <v>4778</v>
      </c>
      <c r="M59">
        <v>0</v>
      </c>
      <c r="N5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9" s="5">
        <v>23895749</v>
      </c>
      <c r="Q59" t="str">
        <f>IF(OR(digital_banking_transactions3[[#This Row],[Nominal_Bersih]]&lt;0,digital_banking_transactions3[[#This Row],[Nominal_Bersih]]=0),"Invalid","Valid")</f>
        <v>Valid</v>
      </c>
      <c r="R5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45513</v>
      </c>
      <c r="S59" s="1" t="str">
        <f>TEXT(digital_banking_transactions3[[#This Row],[Tanggal_Bersih]],"MMMM YYYY")</f>
        <v>August 2024</v>
      </c>
      <c r="T5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0" spans="1:21" x14ac:dyDescent="0.35">
      <c r="A60" s="1" t="s">
        <v>300</v>
      </c>
      <c r="B60" s="1" t="s">
        <v>301</v>
      </c>
      <c r="C60" s="1" t="s">
        <v>302</v>
      </c>
      <c r="D60" s="1" t="s">
        <v>25</v>
      </c>
      <c r="E60" s="1" t="s">
        <v>17</v>
      </c>
      <c r="F60" s="4">
        <v>2095587</v>
      </c>
      <c r="G60" s="1" t="s">
        <v>41</v>
      </c>
      <c r="H60" s="1" t="s">
        <v>60</v>
      </c>
      <c r="I60" s="1" t="s">
        <v>21</v>
      </c>
      <c r="J60" s="1" t="s">
        <v>71</v>
      </c>
      <c r="K60">
        <v>2500</v>
      </c>
      <c r="L60">
        <v>4178</v>
      </c>
      <c r="M60">
        <v>0</v>
      </c>
      <c r="N6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0" s="5">
        <v>2095587</v>
      </c>
      <c r="Q60" t="str">
        <f>IF(OR(digital_banking_transactions3[[#This Row],[Nominal_Bersih]]&lt;0,digital_banking_transactions3[[#This Row],[Nominal_Bersih]]=0),"Invalid","Valid")</f>
        <v>Valid</v>
      </c>
      <c r="R6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45626</v>
      </c>
      <c r="S60" s="1" t="str">
        <f>TEXT(digital_banking_transactions3[[#This Row],[Tanggal_Bersih]],"MMMM YYYY")</f>
        <v>November 2024</v>
      </c>
      <c r="T6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1" spans="1:21" x14ac:dyDescent="0.35">
      <c r="A61" s="1" t="s">
        <v>304</v>
      </c>
      <c r="B61" s="1" t="s">
        <v>305</v>
      </c>
      <c r="C61" s="1" t="s">
        <v>306</v>
      </c>
      <c r="D61" s="1" t="s">
        <v>58</v>
      </c>
      <c r="E61" s="1" t="s">
        <v>94</v>
      </c>
      <c r="F61" s="1" t="s">
        <v>307</v>
      </c>
      <c r="G61" s="1" t="s">
        <v>126</v>
      </c>
      <c r="H61" s="1" t="s">
        <v>96</v>
      </c>
      <c r="I61" s="1" t="s">
        <v>21</v>
      </c>
      <c r="J61" s="1" t="s">
        <v>21</v>
      </c>
      <c r="K61">
        <v>1500</v>
      </c>
      <c r="L61">
        <v>372</v>
      </c>
      <c r="M61">
        <v>1</v>
      </c>
      <c r="N6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1" s="5" t="s">
        <v>307</v>
      </c>
      <c r="Q61" t="str">
        <f>IF(OR(digital_banking_transactions3[[#This Row],[Nominal_Bersih]]&lt;0,digital_banking_transactions3[[#This Row],[Nominal_Bersih]]=0),"Invalid","Valid")</f>
        <v>Valid</v>
      </c>
      <c r="R6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45403</v>
      </c>
      <c r="S61" s="1" t="str">
        <f>TEXT(digital_banking_transactions3[[#This Row],[Tanggal_Bersih]],"MMMM YYYY")</f>
        <v>April 2024</v>
      </c>
      <c r="T6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2" spans="1:21" x14ac:dyDescent="0.35">
      <c r="A62" s="1" t="s">
        <v>309</v>
      </c>
      <c r="B62" s="1" t="s">
        <v>310</v>
      </c>
      <c r="C62" s="1" t="s">
        <v>311</v>
      </c>
      <c r="D62" s="1" t="s">
        <v>16</v>
      </c>
      <c r="E62" s="1" t="s">
        <v>39</v>
      </c>
      <c r="F62" s="1">
        <v>4041950300</v>
      </c>
      <c r="G62" s="1" t="s">
        <v>41</v>
      </c>
      <c r="H62" s="1" t="s">
        <v>77</v>
      </c>
      <c r="I62" s="1" t="s">
        <v>21</v>
      </c>
      <c r="J62" s="1" t="s">
        <v>21</v>
      </c>
      <c r="K62">
        <v>7500</v>
      </c>
      <c r="L62">
        <v>1816</v>
      </c>
      <c r="M62">
        <v>0</v>
      </c>
      <c r="N6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2" s="5">
        <v>4041950300</v>
      </c>
      <c r="Q62" t="str">
        <f>IF(OR(digital_banking_transactions3[[#This Row],[Nominal_Bersih]]&lt;0,digital_banking_transactions3[[#This Row],[Nominal_Bersih]]=0),"Invalid","Valid")</f>
        <v>Valid</v>
      </c>
      <c r="R6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45497</v>
      </c>
      <c r="S62" s="1" t="str">
        <f>TEXT(digital_banking_transactions3[[#This Row],[Tanggal_Bersih]],"MMMM YYYY")</f>
        <v>July 2024</v>
      </c>
      <c r="T6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3" spans="1:21" x14ac:dyDescent="0.35">
      <c r="A63" s="1" t="s">
        <v>313</v>
      </c>
      <c r="B63" s="1" t="s">
        <v>314</v>
      </c>
      <c r="C63" s="1" t="s">
        <v>315</v>
      </c>
      <c r="D63" s="1" t="s">
        <v>75</v>
      </c>
      <c r="E63" s="1" t="s">
        <v>17</v>
      </c>
      <c r="F63" s="1" t="s">
        <v>316</v>
      </c>
      <c r="G63" s="1" t="s">
        <v>126</v>
      </c>
      <c r="H63" s="1" t="s">
        <v>60</v>
      </c>
      <c r="I63" s="1" t="s">
        <v>21</v>
      </c>
      <c r="J63" s="1" t="s">
        <v>21</v>
      </c>
      <c r="K63">
        <v>2500</v>
      </c>
      <c r="L63">
        <v>4920</v>
      </c>
      <c r="M63">
        <v>0</v>
      </c>
      <c r="N6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3" s="5" t="s">
        <v>316</v>
      </c>
      <c r="Q63" t="str">
        <f>IF(OR(digital_banking_transactions3[[#This Row],[Nominal_Bersih]]&lt;0,digital_banking_transactions3[[#This Row],[Nominal_Bersih]]=0),"Invalid","Valid")</f>
        <v>Valid</v>
      </c>
      <c r="R6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45584</v>
      </c>
      <c r="S63" s="1" t="str">
        <f>TEXT(digital_banking_transactions3[[#This Row],[Tanggal_Bersih]],"MMMM YYYY")</f>
        <v>October 2024</v>
      </c>
      <c r="T6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4" spans="1:21" x14ac:dyDescent="0.35">
      <c r="A64" s="1" t="s">
        <v>317</v>
      </c>
      <c r="B64" s="1" t="s">
        <v>318</v>
      </c>
      <c r="C64" s="1" t="s">
        <v>319</v>
      </c>
      <c r="D64" s="1" t="s">
        <v>16</v>
      </c>
      <c r="E64" s="1" t="s">
        <v>94</v>
      </c>
      <c r="F64" s="1">
        <v>347523800</v>
      </c>
      <c r="G64" s="1" t="s">
        <v>65</v>
      </c>
      <c r="H64" s="1" t="s">
        <v>42</v>
      </c>
      <c r="I64" s="1" t="s">
        <v>21</v>
      </c>
      <c r="J64" s="1" t="s">
        <v>21</v>
      </c>
      <c r="K64">
        <v>1500</v>
      </c>
      <c r="L64">
        <v>390</v>
      </c>
      <c r="M64">
        <v>1</v>
      </c>
      <c r="N6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4" s="5">
        <v>347523800</v>
      </c>
      <c r="Q64" t="str">
        <f>IF(OR(digital_banking_transactions3[[#This Row],[Nominal_Bersih]]&lt;0,digital_banking_transactions3[[#This Row],[Nominal_Bersih]]=0),"Invalid","Valid")</f>
        <v>Valid</v>
      </c>
      <c r="R6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45420</v>
      </c>
      <c r="S64" s="1" t="str">
        <f>TEXT(digital_banking_transactions3[[#This Row],[Tanggal_Bersih]],"MMMM YYYY")</f>
        <v>May 2024</v>
      </c>
      <c r="T6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5" spans="1:21" x14ac:dyDescent="0.35">
      <c r="A65" s="1" t="s">
        <v>321</v>
      </c>
      <c r="B65" s="1" t="s">
        <v>322</v>
      </c>
      <c r="C65" s="1" t="s">
        <v>323</v>
      </c>
      <c r="D65" s="1" t="s">
        <v>75</v>
      </c>
      <c r="E65" s="1" t="s">
        <v>52</v>
      </c>
      <c r="F65" s="1">
        <v>395325</v>
      </c>
      <c r="G65" s="1" t="s">
        <v>137</v>
      </c>
      <c r="H65" s="1" t="s">
        <v>42</v>
      </c>
      <c r="I65" s="1" t="s">
        <v>78</v>
      </c>
      <c r="J65" s="1" t="s">
        <v>286</v>
      </c>
      <c r="K65">
        <v>6500</v>
      </c>
      <c r="L65">
        <v>4596</v>
      </c>
      <c r="M65">
        <v>0</v>
      </c>
      <c r="N6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5" s="5">
        <v>395325</v>
      </c>
      <c r="Q65" t="str">
        <f>IF(OR(digital_banking_transactions3[[#This Row],[Nominal_Bersih]]&lt;0,digital_banking_transactions3[[#This Row],[Nominal_Bersih]]=0),"Invalid","Valid")</f>
        <v>Valid</v>
      </c>
      <c r="R6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45456</v>
      </c>
      <c r="S65" s="1" t="str">
        <f>TEXT(digital_banking_transactions3[[#This Row],[Tanggal_Bersih]],"MMMM YYYY")</f>
        <v>June 2024</v>
      </c>
      <c r="T6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6" spans="1:21" x14ac:dyDescent="0.35">
      <c r="A66" s="1" t="s">
        <v>325</v>
      </c>
      <c r="B66" s="1" t="s">
        <v>326</v>
      </c>
      <c r="C66" s="1" t="s">
        <v>327</v>
      </c>
      <c r="D66" s="1" t="s">
        <v>75</v>
      </c>
      <c r="E66" s="1" t="s">
        <v>17</v>
      </c>
      <c r="F66" s="1" t="s">
        <v>328</v>
      </c>
      <c r="G66" s="1" t="s">
        <v>41</v>
      </c>
      <c r="H66" s="1" t="s">
        <v>20</v>
      </c>
      <c r="I66" s="1" t="s">
        <v>21</v>
      </c>
      <c r="J66" s="1" t="s">
        <v>71</v>
      </c>
      <c r="K66">
        <v>2500</v>
      </c>
      <c r="L66">
        <v>86508</v>
      </c>
      <c r="M66">
        <v>0</v>
      </c>
      <c r="N6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6" s="5" t="s">
        <v>328</v>
      </c>
      <c r="Q66" t="str">
        <f>IF(OR(digital_banking_transactions3[[#This Row],[Nominal_Bersih]]&lt;0,digital_banking_transactions3[[#This Row],[Nominal_Bersih]]=0),"Invalid","Valid")</f>
        <v>Valid</v>
      </c>
      <c r="R6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45640</v>
      </c>
      <c r="S66" s="1" t="str">
        <f>TEXT(digital_banking_transactions3[[#This Row],[Tanggal_Bersih]],"MMMM YYYY")</f>
        <v>December 2024</v>
      </c>
      <c r="T6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67" spans="1:21" x14ac:dyDescent="0.35">
      <c r="A67" s="1" t="s">
        <v>329</v>
      </c>
      <c r="B67" s="1" t="s">
        <v>330</v>
      </c>
      <c r="C67" s="1" t="s">
        <v>331</v>
      </c>
      <c r="D67" s="1" t="s">
        <v>25</v>
      </c>
      <c r="E67" s="1" t="s">
        <v>32</v>
      </c>
      <c r="F67" s="1">
        <v>4018063600</v>
      </c>
      <c r="G67" s="1" t="s">
        <v>105</v>
      </c>
      <c r="H67" s="1" t="s">
        <v>60</v>
      </c>
      <c r="I67" s="1" t="s">
        <v>21</v>
      </c>
      <c r="J67" s="1" t="s">
        <v>71</v>
      </c>
      <c r="K67">
        <v>0</v>
      </c>
      <c r="L67">
        <v>4310</v>
      </c>
      <c r="M67">
        <v>0</v>
      </c>
      <c r="N6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7" s="5">
        <v>4018063600</v>
      </c>
      <c r="Q67" t="str">
        <f>IF(OR(digital_banking_transactions3[[#This Row],[Nominal_Bersih]]&lt;0,digital_banking_transactions3[[#This Row],[Nominal_Bersih]]=0),"Invalid","Valid")</f>
        <v>Valid</v>
      </c>
      <c r="R6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45534</v>
      </c>
      <c r="S67" s="1" t="str">
        <f>TEXT(digital_banking_transactions3[[#This Row],[Tanggal_Bersih]],"MMMM YYYY")</f>
        <v>August 2024</v>
      </c>
      <c r="T6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8" spans="1:21" x14ac:dyDescent="0.35">
      <c r="A68" s="1" t="s">
        <v>333</v>
      </c>
      <c r="B68" s="1" t="s">
        <v>334</v>
      </c>
      <c r="C68" s="1" t="s">
        <v>335</v>
      </c>
      <c r="D68" s="1" t="s">
        <v>16</v>
      </c>
      <c r="E68" s="1" t="s">
        <v>17</v>
      </c>
      <c r="F68" s="1">
        <v>2582210</v>
      </c>
      <c r="G68" s="1" t="s">
        <v>264</v>
      </c>
      <c r="H68" s="1" t="s">
        <v>77</v>
      </c>
      <c r="I68" s="1" t="s">
        <v>21</v>
      </c>
      <c r="J68" s="1" t="s">
        <v>21</v>
      </c>
      <c r="K68">
        <v>2500</v>
      </c>
      <c r="L68">
        <v>1345</v>
      </c>
      <c r="M68">
        <v>0</v>
      </c>
      <c r="N6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8" s="5">
        <v>2582210</v>
      </c>
      <c r="Q68" t="str">
        <f>IF(OR(digital_banking_transactions3[[#This Row],[Nominal_Bersih]]&lt;0,digital_banking_transactions3[[#This Row],[Nominal_Bersih]]=0),"Invalid","Valid")</f>
        <v>Valid</v>
      </c>
      <c r="R6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45652</v>
      </c>
      <c r="S68" s="1" t="str">
        <f>TEXT(digital_banking_transactions3[[#This Row],[Tanggal_Bersih]],"MMMM YYYY")</f>
        <v>December 2024</v>
      </c>
      <c r="T6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9" spans="1:21" x14ac:dyDescent="0.35">
      <c r="A69" s="1" t="s">
        <v>337</v>
      </c>
      <c r="B69" s="1" t="s">
        <v>338</v>
      </c>
      <c r="C69" s="1" t="s">
        <v>339</v>
      </c>
      <c r="D69" s="1" t="s">
        <v>284</v>
      </c>
      <c r="E69" s="1" t="s">
        <v>94</v>
      </c>
      <c r="F69" s="1" t="s">
        <v>340</v>
      </c>
      <c r="G69" s="1" t="s">
        <v>264</v>
      </c>
      <c r="H69" s="1" t="s">
        <v>106</v>
      </c>
      <c r="I69" s="1" t="s">
        <v>21</v>
      </c>
      <c r="J69" s="1" t="s">
        <v>121</v>
      </c>
      <c r="K69">
        <v>1500</v>
      </c>
      <c r="L69">
        <v>3177</v>
      </c>
      <c r="M69">
        <v>0</v>
      </c>
      <c r="N6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9" s="5" t="s">
        <v>340</v>
      </c>
      <c r="Q69" t="str">
        <f>IF(OR(digital_banking_transactions3[[#This Row],[Nominal_Bersih]]&lt;0,digital_banking_transactions3[[#This Row],[Nominal_Bersih]]=0),"Invalid","Valid")</f>
        <v>Valid</v>
      </c>
      <c r="R6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45408</v>
      </c>
      <c r="S69" s="1" t="str">
        <f>TEXT(digital_banking_transactions3[[#This Row],[Tanggal_Bersih]],"MMMM YYYY")</f>
        <v>April 2024</v>
      </c>
      <c r="T6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70" spans="1:21" x14ac:dyDescent="0.35">
      <c r="A70" s="1" t="s">
        <v>341</v>
      </c>
      <c r="B70" s="1" t="s">
        <v>342</v>
      </c>
      <c r="C70" s="1" t="s">
        <v>343</v>
      </c>
      <c r="D70" s="1" t="s">
        <v>25</v>
      </c>
      <c r="E70" s="1" t="s">
        <v>39</v>
      </c>
      <c r="F70" s="4">
        <v>4965053</v>
      </c>
      <c r="G70" s="1" t="s">
        <v>65</v>
      </c>
      <c r="H70" s="1" t="s">
        <v>60</v>
      </c>
      <c r="I70" s="1" t="s">
        <v>21</v>
      </c>
      <c r="J70" s="1" t="s">
        <v>79</v>
      </c>
      <c r="K70">
        <v>7500</v>
      </c>
      <c r="L70">
        <v>4902</v>
      </c>
      <c r="M70">
        <v>0</v>
      </c>
      <c r="N7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7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70" s="5">
        <v>4965053</v>
      </c>
      <c r="Q70" t="str">
        <f>IF(OR(digital_banking_transactions3[[#This Row],[Nominal_Bersih]]&lt;0,digital_banking_transactions3[[#This Row],[Nominal_Bersih]]=0),"Invalid","Valid")</f>
        <v>Valid</v>
      </c>
      <c r="R7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45587</v>
      </c>
      <c r="S70" s="1" t="str">
        <f>TEXT(digital_banking_transactions3[[#This Row],[Tanggal_Bersih]],"MMMM YYYY")</f>
        <v>October 2024</v>
      </c>
      <c r="T7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7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71" spans="1:21" x14ac:dyDescent="0.35">
      <c r="A71" s="1" t="s">
        <v>345</v>
      </c>
      <c r="B71" s="1" t="s">
        <v>346</v>
      </c>
      <c r="C71" s="1" t="s">
        <v>347</v>
      </c>
      <c r="D71" s="1" t="s">
        <v>167</v>
      </c>
      <c r="E71" s="1" t="s">
        <v>94</v>
      </c>
      <c r="F71" s="1" t="s">
        <v>348</v>
      </c>
      <c r="G71" s="1" t="s">
        <v>41</v>
      </c>
      <c r="H71" s="1" t="s">
        <v>20</v>
      </c>
      <c r="I71" s="1" t="s">
        <v>21</v>
      </c>
      <c r="J71" s="1" t="s">
        <v>21</v>
      </c>
      <c r="K71">
        <v>1500</v>
      </c>
      <c r="L71">
        <v>3366</v>
      </c>
      <c r="M71">
        <v>0</v>
      </c>
      <c r="N7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7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71" s="5" t="s">
        <v>348</v>
      </c>
      <c r="Q71" t="str">
        <f>IF(OR(digital_banking_transactions3[[#This Row],[Nominal_Bersih]]&lt;0,digital_banking_transactions3[[#This Row],[Nominal_Bersih]]=0),"Invalid","Valid")</f>
        <v>Valid</v>
      </c>
      <c r="R7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45467</v>
      </c>
      <c r="S71" s="1" t="str">
        <f>TEXT(digital_banking_transactions3[[#This Row],[Tanggal_Bersih]],"MMMM YYYY")</f>
        <v>June 2024</v>
      </c>
      <c r="T7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7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72" spans="1:21" x14ac:dyDescent="0.35">
      <c r="A72" s="1" t="s">
        <v>349</v>
      </c>
      <c r="B72" s="1" t="s">
        <v>350</v>
      </c>
      <c r="C72" s="1" t="s">
        <v>351</v>
      </c>
      <c r="D72" s="1" t="s">
        <v>110</v>
      </c>
      <c r="E72" s="1" t="s">
        <v>32</v>
      </c>
      <c r="F72" s="1" t="s">
        <v>352</v>
      </c>
      <c r="G72" s="1" t="s">
        <v>65</v>
      </c>
      <c r="H72" s="1" t="s">
        <v>60</v>
      </c>
      <c r="I72" s="1" t="s">
        <v>21</v>
      </c>
      <c r="J72" s="1" t="s">
        <v>21</v>
      </c>
      <c r="K72">
        <v>0</v>
      </c>
      <c r="L72">
        <v>1466</v>
      </c>
      <c r="M72">
        <v>0</v>
      </c>
      <c r="N7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7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72" s="5" t="s">
        <v>352</v>
      </c>
      <c r="Q72" t="str">
        <f>IF(OR(digital_banking_transactions3[[#This Row],[Nominal_Bersih]]&lt;0,digital_banking_transactions3[[#This Row],[Nominal_Bersih]]=0),"Invalid","Valid")</f>
        <v>Valid</v>
      </c>
      <c r="R7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45513</v>
      </c>
      <c r="S72" s="1" t="str">
        <f>TEXT(digital_banking_transactions3[[#This Row],[Tanggal_Bersih]],"MMMM YYYY")</f>
        <v>August 2024</v>
      </c>
      <c r="T7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7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73" spans="1:21" x14ac:dyDescent="0.35">
      <c r="A73" s="1" t="s">
        <v>353</v>
      </c>
      <c r="B73" s="1" t="s">
        <v>354</v>
      </c>
      <c r="C73" s="1" t="s">
        <v>355</v>
      </c>
      <c r="D73" s="1" t="s">
        <v>135</v>
      </c>
      <c r="E73" s="1" t="s">
        <v>94</v>
      </c>
      <c r="F73" s="1" t="s">
        <v>356</v>
      </c>
      <c r="G73" s="1" t="s">
        <v>126</v>
      </c>
      <c r="H73" s="1" t="s">
        <v>96</v>
      </c>
      <c r="I73" s="1" t="s">
        <v>21</v>
      </c>
      <c r="J73" s="1" t="s">
        <v>286</v>
      </c>
      <c r="K73">
        <v>1500</v>
      </c>
      <c r="L73">
        <v>3309</v>
      </c>
      <c r="M73">
        <v>0</v>
      </c>
      <c r="N7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7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73" s="5" t="s">
        <v>356</v>
      </c>
      <c r="Q73" t="str">
        <f>IF(OR(digital_banking_transactions3[[#This Row],[Nominal_Bersih]]&lt;0,digital_banking_transactions3[[#This Row],[Nominal_Bersih]]=0),"Invalid","Valid")</f>
        <v>Valid</v>
      </c>
      <c r="R7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45406</v>
      </c>
      <c r="S73" s="1" t="str">
        <f>TEXT(digital_banking_transactions3[[#This Row],[Tanggal_Bersih]],"MMMM YYYY")</f>
        <v>April 2024</v>
      </c>
      <c r="T7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7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74" spans="1:21" x14ac:dyDescent="0.35">
      <c r="A74" s="1" t="s">
        <v>357</v>
      </c>
      <c r="B74" s="1" t="s">
        <v>358</v>
      </c>
      <c r="C74" s="1" t="s">
        <v>359</v>
      </c>
      <c r="D74" s="1" t="s">
        <v>58</v>
      </c>
      <c r="E74" s="1" t="s">
        <v>39</v>
      </c>
      <c r="F74" s="1">
        <v>16407611</v>
      </c>
      <c r="G74" s="1" t="s">
        <v>41</v>
      </c>
      <c r="H74" s="1" t="s">
        <v>106</v>
      </c>
      <c r="I74" s="1" t="s">
        <v>21</v>
      </c>
      <c r="J74" s="1" t="s">
        <v>21</v>
      </c>
      <c r="K74">
        <v>7500</v>
      </c>
      <c r="L74">
        <v>2029</v>
      </c>
      <c r="M74">
        <v>0</v>
      </c>
      <c r="N7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7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74" s="5">
        <v>16407611</v>
      </c>
      <c r="Q74" t="str">
        <f>IF(OR(digital_banking_transactions3[[#This Row],[Nominal_Bersih]]&lt;0,digital_banking_transactions3[[#This Row],[Nominal_Bersih]]=0),"Invalid","Valid")</f>
        <v>Valid</v>
      </c>
      <c r="R7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45389</v>
      </c>
      <c r="S74" s="1" t="str">
        <f>TEXT(digital_banking_transactions3[[#This Row],[Tanggal_Bersih]],"MMMM YYYY")</f>
        <v>April 2024</v>
      </c>
      <c r="T7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7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75" spans="1:21" x14ac:dyDescent="0.35">
      <c r="A75" s="1" t="s">
        <v>361</v>
      </c>
      <c r="B75" s="1" t="s">
        <v>362</v>
      </c>
      <c r="C75" s="1" t="s">
        <v>363</v>
      </c>
      <c r="D75" s="1" t="s">
        <v>284</v>
      </c>
      <c r="E75" s="1" t="s">
        <v>39</v>
      </c>
      <c r="F75" s="1" t="s">
        <v>364</v>
      </c>
      <c r="G75" s="1" t="s">
        <v>27</v>
      </c>
      <c r="H75" s="1" t="s">
        <v>60</v>
      </c>
      <c r="I75" s="1" t="s">
        <v>21</v>
      </c>
      <c r="J75" s="1" t="s">
        <v>286</v>
      </c>
      <c r="K75">
        <v>7500</v>
      </c>
      <c r="L75">
        <v>3655</v>
      </c>
      <c r="M75">
        <v>0</v>
      </c>
      <c r="N7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7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75" s="5" t="s">
        <v>364</v>
      </c>
      <c r="Q75" t="str">
        <f>IF(OR(digital_banking_transactions3[[#This Row],[Nominal_Bersih]]&lt;0,digital_banking_transactions3[[#This Row],[Nominal_Bersih]]=0),"Invalid","Valid")</f>
        <v>Valid</v>
      </c>
      <c r="R7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45657</v>
      </c>
      <c r="S75" s="1" t="str">
        <f>TEXT(digital_banking_transactions3[[#This Row],[Tanggal_Bersih]],"MMMM YYYY")</f>
        <v>December 2024</v>
      </c>
      <c r="T7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7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76" spans="1:21" x14ac:dyDescent="0.35">
      <c r="A76" s="1" t="s">
        <v>365</v>
      </c>
      <c r="B76" s="1" t="s">
        <v>366</v>
      </c>
      <c r="C76" s="1" t="s">
        <v>367</v>
      </c>
      <c r="D76" s="1" t="s">
        <v>75</v>
      </c>
      <c r="E76" s="1" t="s">
        <v>17</v>
      </c>
      <c r="F76" s="1" t="s">
        <v>368</v>
      </c>
      <c r="G76" s="1" t="s">
        <v>126</v>
      </c>
      <c r="H76" s="1" t="s">
        <v>42</v>
      </c>
      <c r="I76" s="1" t="s">
        <v>21</v>
      </c>
      <c r="J76" s="1" t="s">
        <v>71</v>
      </c>
      <c r="K76">
        <v>2500</v>
      </c>
      <c r="L76">
        <v>3956</v>
      </c>
      <c r="M76">
        <v>0</v>
      </c>
      <c r="N7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7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76" s="5" t="s">
        <v>368</v>
      </c>
      <c r="Q76" t="str">
        <f>IF(OR(digital_banking_transactions3[[#This Row],[Nominal_Bersih]]&lt;0,digital_banking_transactions3[[#This Row],[Nominal_Bersih]]=0),"Invalid","Valid")</f>
        <v>Valid</v>
      </c>
      <c r="R7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45329</v>
      </c>
      <c r="S76" s="1" t="str">
        <f>TEXT(digital_banking_transactions3[[#This Row],[Tanggal_Bersih]],"MMMM YYYY")</f>
        <v>February 2024</v>
      </c>
      <c r="T7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7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77" spans="1:21" x14ac:dyDescent="0.35">
      <c r="A77" s="1" t="s">
        <v>369</v>
      </c>
      <c r="B77" s="1" t="s">
        <v>370</v>
      </c>
      <c r="C77" s="1" t="s">
        <v>371</v>
      </c>
      <c r="D77" s="1" t="s">
        <v>25</v>
      </c>
      <c r="E77" s="1" t="s">
        <v>17</v>
      </c>
      <c r="F77" s="1">
        <v>444361300</v>
      </c>
      <c r="G77" s="1" t="s">
        <v>126</v>
      </c>
      <c r="H77" s="1" t="s">
        <v>35</v>
      </c>
      <c r="I77" s="1" t="s">
        <v>21</v>
      </c>
      <c r="J77" s="1" t="s">
        <v>21</v>
      </c>
      <c r="K77">
        <v>2500</v>
      </c>
      <c r="L77">
        <v>1659</v>
      </c>
      <c r="M77">
        <v>0</v>
      </c>
      <c r="N7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7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77" s="5">
        <v>444361300</v>
      </c>
      <c r="Q77" t="str">
        <f>IF(OR(digital_banking_transactions3[[#This Row],[Nominal_Bersih]]&lt;0,digital_banking_transactions3[[#This Row],[Nominal_Bersih]]=0),"Invalid","Valid")</f>
        <v>Valid</v>
      </c>
      <c r="R7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45613</v>
      </c>
      <c r="S77" s="1" t="str">
        <f>TEXT(digital_banking_transactions3[[#This Row],[Tanggal_Bersih]],"MMMM YYYY")</f>
        <v>November 2024</v>
      </c>
      <c r="T7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7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78" spans="1:21" x14ac:dyDescent="0.35">
      <c r="A78" s="1" t="s">
        <v>373</v>
      </c>
      <c r="B78" s="1" t="s">
        <v>374</v>
      </c>
      <c r="C78" s="1" t="s">
        <v>375</v>
      </c>
      <c r="D78" s="1" t="s">
        <v>75</v>
      </c>
      <c r="E78" s="1" t="s">
        <v>39</v>
      </c>
      <c r="F78" s="1" t="s">
        <v>376</v>
      </c>
      <c r="G78" s="1" t="s">
        <v>41</v>
      </c>
      <c r="H78" s="1" t="s">
        <v>42</v>
      </c>
      <c r="I78" s="1" t="s">
        <v>21</v>
      </c>
      <c r="J78" s="1" t="s">
        <v>21</v>
      </c>
      <c r="K78">
        <v>7500</v>
      </c>
      <c r="L78">
        <v>4737</v>
      </c>
      <c r="M78">
        <v>1</v>
      </c>
      <c r="N7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7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78" s="5" t="s">
        <v>376</v>
      </c>
      <c r="Q78" t="str">
        <f>IF(OR(digital_banking_transactions3[[#This Row],[Nominal_Bersih]]&lt;0,digital_banking_transactions3[[#This Row],[Nominal_Bersih]]=0),"Invalid","Valid")</f>
        <v>Valid</v>
      </c>
      <c r="R7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45564</v>
      </c>
      <c r="S78" s="1" t="str">
        <f>TEXT(digital_banking_transactions3[[#This Row],[Tanggal_Bersih]],"MMMM YYYY")</f>
        <v>September 2024</v>
      </c>
      <c r="T7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7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79" spans="1:21" x14ac:dyDescent="0.35">
      <c r="A79" s="1" t="s">
        <v>377</v>
      </c>
      <c r="B79" s="1" t="s">
        <v>378</v>
      </c>
      <c r="C79" s="1" t="s">
        <v>379</v>
      </c>
      <c r="D79" s="1" t="s">
        <v>58</v>
      </c>
      <c r="E79" s="1" t="s">
        <v>39</v>
      </c>
      <c r="F79" s="1">
        <v>404785100</v>
      </c>
      <c r="G79" s="1" t="s">
        <v>381</v>
      </c>
      <c r="H79" s="1" t="s">
        <v>35</v>
      </c>
      <c r="I79" s="1" t="s">
        <v>21</v>
      </c>
      <c r="J79" s="1" t="s">
        <v>21</v>
      </c>
      <c r="K79">
        <v>7500</v>
      </c>
      <c r="L79">
        <v>2482</v>
      </c>
      <c r="M79">
        <v>0</v>
      </c>
      <c r="N7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7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79" s="5">
        <v>404785100</v>
      </c>
      <c r="Q79" t="str">
        <f>IF(OR(digital_banking_transactions3[[#This Row],[Nominal_Bersih]]&lt;0,digital_banking_transactions3[[#This Row],[Nominal_Bersih]]=0),"Invalid","Valid")</f>
        <v>Valid</v>
      </c>
      <c r="R7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45322</v>
      </c>
      <c r="S79" s="1" t="str">
        <f>TEXT(digital_banking_transactions3[[#This Row],[Tanggal_Bersih]],"MMMM YYYY")</f>
        <v>January 2024</v>
      </c>
      <c r="T7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7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80" spans="1:21" x14ac:dyDescent="0.35">
      <c r="A80" s="1" t="s">
        <v>382</v>
      </c>
      <c r="B80" s="1" t="s">
        <v>383</v>
      </c>
      <c r="C80" s="1" t="s">
        <v>384</v>
      </c>
      <c r="D80" s="1" t="s">
        <v>25</v>
      </c>
      <c r="E80" s="1" t="s">
        <v>94</v>
      </c>
      <c r="F80" s="1" t="s">
        <v>385</v>
      </c>
      <c r="G80" s="1" t="s">
        <v>126</v>
      </c>
      <c r="H80" s="1" t="s">
        <v>106</v>
      </c>
      <c r="I80" s="1" t="s">
        <v>21</v>
      </c>
      <c r="J80" s="1" t="s">
        <v>71</v>
      </c>
      <c r="K80">
        <v>1500</v>
      </c>
      <c r="L80">
        <v>1992</v>
      </c>
      <c r="M80">
        <v>0</v>
      </c>
      <c r="N8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8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80" s="5" t="s">
        <v>385</v>
      </c>
      <c r="Q80" t="str">
        <f>IF(OR(digital_banking_transactions3[[#This Row],[Nominal_Bersih]]&lt;0,digital_banking_transactions3[[#This Row],[Nominal_Bersih]]=0),"Invalid","Valid")</f>
        <v>Valid</v>
      </c>
      <c r="R8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45450</v>
      </c>
      <c r="S80" s="1" t="str">
        <f>TEXT(digital_banking_transactions3[[#This Row],[Tanggal_Bersih]],"MMMM YYYY")</f>
        <v>June 2024</v>
      </c>
      <c r="T8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8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81" spans="1:21" x14ac:dyDescent="0.35">
      <c r="A81" s="1" t="s">
        <v>386</v>
      </c>
      <c r="B81" s="1" t="s">
        <v>387</v>
      </c>
      <c r="C81" s="1" t="s">
        <v>388</v>
      </c>
      <c r="D81" s="1" t="s">
        <v>75</v>
      </c>
      <c r="E81" s="1" t="s">
        <v>94</v>
      </c>
      <c r="F81" s="1" t="s">
        <v>389</v>
      </c>
      <c r="G81" s="1" t="s">
        <v>65</v>
      </c>
      <c r="H81" s="1" t="s">
        <v>60</v>
      </c>
      <c r="I81" s="1" t="s">
        <v>21</v>
      </c>
      <c r="J81" s="1" t="s">
        <v>121</v>
      </c>
      <c r="K81">
        <v>1500</v>
      </c>
      <c r="L81">
        <v>4431</v>
      </c>
      <c r="M81">
        <v>0</v>
      </c>
      <c r="N8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8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81" s="5" t="s">
        <v>389</v>
      </c>
      <c r="Q81" t="str">
        <f>IF(OR(digital_banking_transactions3[[#This Row],[Nominal_Bersih]]&lt;0,digital_banking_transactions3[[#This Row],[Nominal_Bersih]]=0),"Invalid","Valid")</f>
        <v>Valid</v>
      </c>
      <c r="R8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45554</v>
      </c>
      <c r="S81" s="1" t="str">
        <f>TEXT(digital_banking_transactions3[[#This Row],[Tanggal_Bersih]],"MMMM YYYY")</f>
        <v>September 2024</v>
      </c>
      <c r="T8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8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82" spans="1:21" x14ac:dyDescent="0.35">
      <c r="A82" s="1" t="s">
        <v>390</v>
      </c>
      <c r="B82" s="1" t="s">
        <v>391</v>
      </c>
      <c r="C82" s="1" t="s">
        <v>392</v>
      </c>
      <c r="D82" s="1" t="s">
        <v>58</v>
      </c>
      <c r="E82" s="1" t="s">
        <v>32</v>
      </c>
      <c r="F82" s="4">
        <v>2027412</v>
      </c>
      <c r="G82" s="1" t="s">
        <v>126</v>
      </c>
      <c r="H82" s="1" t="s">
        <v>42</v>
      </c>
      <c r="I82" s="1" t="s">
        <v>21</v>
      </c>
      <c r="J82" s="1" t="s">
        <v>21</v>
      </c>
      <c r="K82">
        <v>0</v>
      </c>
      <c r="L82">
        <v>926</v>
      </c>
      <c r="M82">
        <v>0</v>
      </c>
      <c r="N8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8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82" s="5">
        <v>2027412</v>
      </c>
      <c r="Q82" t="str">
        <f>IF(OR(digital_banking_transactions3[[#This Row],[Nominal_Bersih]]&lt;0,digital_banking_transactions3[[#This Row],[Nominal_Bersih]]=0),"Invalid","Valid")</f>
        <v>Valid</v>
      </c>
      <c r="R8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45382</v>
      </c>
      <c r="S82" s="1" t="str">
        <f>TEXT(digital_banking_transactions3[[#This Row],[Tanggal_Bersih]],"MMMM YYYY")</f>
        <v>March 2024</v>
      </c>
      <c r="T8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8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83" spans="1:21" x14ac:dyDescent="0.35">
      <c r="A83" s="1" t="s">
        <v>394</v>
      </c>
      <c r="B83" s="1" t="s">
        <v>395</v>
      </c>
      <c r="C83" s="1" t="s">
        <v>396</v>
      </c>
      <c r="D83" s="1" t="s">
        <v>58</v>
      </c>
      <c r="E83" s="1" t="s">
        <v>94</v>
      </c>
      <c r="F83" s="1">
        <v>56760</v>
      </c>
      <c r="G83" s="1" t="s">
        <v>381</v>
      </c>
      <c r="H83" s="1" t="s">
        <v>54</v>
      </c>
      <c r="I83" s="1" t="s">
        <v>21</v>
      </c>
      <c r="J83" s="1" t="s">
        <v>21</v>
      </c>
      <c r="K83">
        <v>1500</v>
      </c>
      <c r="L83">
        <v>987</v>
      </c>
      <c r="M83">
        <v>1</v>
      </c>
      <c r="N8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8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83" s="5">
        <v>56760</v>
      </c>
      <c r="Q83" t="str">
        <f>IF(OR(digital_banking_transactions3[[#This Row],[Nominal_Bersih]]&lt;0,digital_banking_transactions3[[#This Row],[Nominal_Bersih]]=0),"Invalid","Valid")</f>
        <v>Valid</v>
      </c>
      <c r="R8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45487</v>
      </c>
      <c r="S83" s="1" t="str">
        <f>TEXT(digital_banking_transactions3[[#This Row],[Tanggal_Bersih]],"MMMM YYYY")</f>
        <v>July 2024</v>
      </c>
      <c r="T8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8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84" spans="1:21" x14ac:dyDescent="0.35">
      <c r="A84" s="1" t="s">
        <v>398</v>
      </c>
      <c r="B84" s="1" t="s">
        <v>399</v>
      </c>
      <c r="C84" s="1" t="s">
        <v>400</v>
      </c>
      <c r="D84" s="1" t="s">
        <v>58</v>
      </c>
      <c r="E84" s="1" t="s">
        <v>94</v>
      </c>
      <c r="F84" s="1">
        <v>169426</v>
      </c>
      <c r="G84" s="1" t="s">
        <v>126</v>
      </c>
      <c r="H84" s="1" t="s">
        <v>106</v>
      </c>
      <c r="I84" s="1" t="s">
        <v>21</v>
      </c>
      <c r="J84" s="1" t="s">
        <v>21</v>
      </c>
      <c r="K84">
        <v>1500</v>
      </c>
      <c r="L84">
        <v>1517</v>
      </c>
      <c r="M84">
        <v>0</v>
      </c>
      <c r="N8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8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84" s="5">
        <v>169426</v>
      </c>
      <c r="Q84" t="str">
        <f>IF(OR(digital_banking_transactions3[[#This Row],[Nominal_Bersih]]&lt;0,digital_banking_transactions3[[#This Row],[Nominal_Bersih]]=0),"Invalid","Valid")</f>
        <v>Valid</v>
      </c>
      <c r="R8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45463</v>
      </c>
      <c r="S84" s="1" t="str">
        <f>TEXT(digital_banking_transactions3[[#This Row],[Tanggal_Bersih]],"MMMM YYYY")</f>
        <v>June 2024</v>
      </c>
      <c r="T8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8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85" spans="1:21" x14ac:dyDescent="0.35">
      <c r="A85" s="1" t="s">
        <v>402</v>
      </c>
      <c r="B85" s="1" t="s">
        <v>403</v>
      </c>
      <c r="C85" s="1" t="s">
        <v>404</v>
      </c>
      <c r="D85" s="1" t="s">
        <v>25</v>
      </c>
      <c r="E85" s="1" t="s">
        <v>94</v>
      </c>
      <c r="F85" s="4">
        <v>158695</v>
      </c>
      <c r="G85" s="1" t="s">
        <v>41</v>
      </c>
      <c r="H85" s="1" t="s">
        <v>54</v>
      </c>
      <c r="I85" s="1" t="s">
        <v>21</v>
      </c>
      <c r="J85" s="1" t="s">
        <v>21</v>
      </c>
      <c r="K85">
        <v>1500</v>
      </c>
      <c r="L85">
        <v>4246</v>
      </c>
      <c r="M85">
        <v>0</v>
      </c>
      <c r="N8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8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85" s="5">
        <v>158695</v>
      </c>
      <c r="Q85" t="str">
        <f>IF(OR(digital_banking_transactions3[[#This Row],[Nominal_Bersih]]&lt;0,digital_banking_transactions3[[#This Row],[Nominal_Bersih]]=0),"Invalid","Valid")</f>
        <v>Valid</v>
      </c>
      <c r="R8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45401</v>
      </c>
      <c r="S85" s="1" t="str">
        <f>TEXT(digital_banking_transactions3[[#This Row],[Tanggal_Bersih]],"MMMM YYYY")</f>
        <v>April 2024</v>
      </c>
      <c r="T8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8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86" spans="1:21" x14ac:dyDescent="0.35">
      <c r="A86" s="1" t="s">
        <v>406</v>
      </c>
      <c r="B86" s="1" t="s">
        <v>407</v>
      </c>
      <c r="C86" s="1" t="s">
        <v>408</v>
      </c>
      <c r="D86" s="1" t="s">
        <v>58</v>
      </c>
      <c r="E86" s="1" t="s">
        <v>32</v>
      </c>
      <c r="F86" s="1" t="s">
        <v>409</v>
      </c>
      <c r="G86" s="1" t="s">
        <v>65</v>
      </c>
      <c r="H86" s="1" t="s">
        <v>42</v>
      </c>
      <c r="I86" s="1" t="s">
        <v>21</v>
      </c>
      <c r="J86" s="1" t="s">
        <v>21</v>
      </c>
      <c r="L86">
        <v>84849</v>
      </c>
      <c r="M86">
        <v>0</v>
      </c>
      <c r="N8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8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86" s="5" t="s">
        <v>409</v>
      </c>
      <c r="Q86" t="str">
        <f>IF(OR(digital_banking_transactions3[[#This Row],[Nominal_Bersih]]&lt;0,digital_banking_transactions3[[#This Row],[Nominal_Bersih]]=0),"Invalid","Valid")</f>
        <v>Valid</v>
      </c>
      <c r="R8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45637</v>
      </c>
      <c r="S86" s="1" t="str">
        <f>TEXT(digital_banking_transactions3[[#This Row],[Tanggal_Bersih]],"MMMM YYYY")</f>
        <v>December 2024</v>
      </c>
      <c r="T8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8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87" spans="1:21" x14ac:dyDescent="0.35">
      <c r="A87" s="1" t="s">
        <v>410</v>
      </c>
      <c r="B87" s="1" t="s">
        <v>411</v>
      </c>
      <c r="C87" s="1" t="s">
        <v>412</v>
      </c>
      <c r="D87" s="1" t="s">
        <v>25</v>
      </c>
      <c r="E87" s="1" t="s">
        <v>17</v>
      </c>
      <c r="F87" s="1">
        <v>2754110400</v>
      </c>
      <c r="G87" s="1" t="s">
        <v>65</v>
      </c>
      <c r="H87" s="1" t="s">
        <v>106</v>
      </c>
      <c r="I87" s="1" t="s">
        <v>21</v>
      </c>
      <c r="J87" s="1" t="s">
        <v>208</v>
      </c>
      <c r="K87">
        <v>2500</v>
      </c>
      <c r="L87">
        <v>1591</v>
      </c>
      <c r="M87">
        <v>0</v>
      </c>
      <c r="N8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8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87" s="5">
        <v>2754110400</v>
      </c>
      <c r="Q87" t="str">
        <f>IF(OR(digital_banking_transactions3[[#This Row],[Nominal_Bersih]]&lt;0,digital_banking_transactions3[[#This Row],[Nominal_Bersih]]=0),"Invalid","Valid")</f>
        <v>Valid</v>
      </c>
      <c r="R8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45621</v>
      </c>
      <c r="S87" s="1" t="str">
        <f>TEXT(digital_banking_transactions3[[#This Row],[Tanggal_Bersih]],"MMMM YYYY")</f>
        <v>November 2024</v>
      </c>
      <c r="T8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8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88" spans="1:21" x14ac:dyDescent="0.35">
      <c r="A88" s="1" t="s">
        <v>414</v>
      </c>
      <c r="B88" s="1" t="s">
        <v>415</v>
      </c>
      <c r="C88" s="1" t="s">
        <v>416</v>
      </c>
      <c r="D88" s="1" t="s">
        <v>167</v>
      </c>
      <c r="E88" s="1" t="s">
        <v>52</v>
      </c>
      <c r="F88" s="1" t="s">
        <v>417</v>
      </c>
      <c r="G88" s="1" t="s">
        <v>264</v>
      </c>
      <c r="H88" s="1" t="s">
        <v>42</v>
      </c>
      <c r="I88" s="1" t="s">
        <v>78</v>
      </c>
      <c r="J88" s="1" t="s">
        <v>21</v>
      </c>
      <c r="K88">
        <v>6500</v>
      </c>
      <c r="L88">
        <v>4157</v>
      </c>
      <c r="M88">
        <v>0</v>
      </c>
      <c r="N8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8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88" s="5" t="s">
        <v>417</v>
      </c>
      <c r="Q88" t="str">
        <f>IF(OR(digital_banking_transactions3[[#This Row],[Nominal_Bersih]]&lt;0,digital_banking_transactions3[[#This Row],[Nominal_Bersih]]=0),"Invalid","Valid")</f>
        <v>Valid</v>
      </c>
      <c r="R8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45507</v>
      </c>
      <c r="S88" s="1" t="str">
        <f>TEXT(digital_banking_transactions3[[#This Row],[Tanggal_Bersih]],"MMMM YYYY")</f>
        <v>August 2024</v>
      </c>
      <c r="T8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8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89" spans="1:21" x14ac:dyDescent="0.35">
      <c r="A89" s="1" t="s">
        <v>418</v>
      </c>
      <c r="B89" s="1" t="s">
        <v>419</v>
      </c>
      <c r="C89" s="1" t="s">
        <v>420</v>
      </c>
      <c r="D89" s="1" t="s">
        <v>58</v>
      </c>
      <c r="E89" s="1" t="s">
        <v>52</v>
      </c>
      <c r="F89" s="4">
        <v>422379</v>
      </c>
      <c r="G89" s="1" t="s">
        <v>41</v>
      </c>
      <c r="H89" s="1" t="s">
        <v>60</v>
      </c>
      <c r="I89" s="1" t="s">
        <v>21</v>
      </c>
      <c r="J89" s="1" t="s">
        <v>21</v>
      </c>
      <c r="K89">
        <v>6500</v>
      </c>
      <c r="L89">
        <v>3337</v>
      </c>
      <c r="M89">
        <v>0</v>
      </c>
      <c r="N8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8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89" s="5">
        <v>422379</v>
      </c>
      <c r="Q89" t="str">
        <f>IF(OR(digital_banking_transactions3[[#This Row],[Nominal_Bersih]]&lt;0,digital_banking_transactions3[[#This Row],[Nominal_Bersih]]=0),"Invalid","Valid")</f>
        <v>Valid</v>
      </c>
      <c r="R8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45490</v>
      </c>
      <c r="S89" s="1" t="str">
        <f>TEXT(digital_banking_transactions3[[#This Row],[Tanggal_Bersih]],"MMMM YYYY")</f>
        <v>July 2024</v>
      </c>
      <c r="T8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8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90" spans="1:21" x14ac:dyDescent="0.35">
      <c r="A90" s="1" t="s">
        <v>422</v>
      </c>
      <c r="B90" s="1" t="s">
        <v>423</v>
      </c>
      <c r="C90" s="1" t="s">
        <v>424</v>
      </c>
      <c r="D90" s="1" t="s">
        <v>16</v>
      </c>
      <c r="E90" s="1" t="s">
        <v>39</v>
      </c>
      <c r="F90" s="1">
        <v>66881</v>
      </c>
      <c r="G90" s="1" t="s">
        <v>126</v>
      </c>
      <c r="H90" s="1" t="s">
        <v>77</v>
      </c>
      <c r="I90" s="1" t="s">
        <v>21</v>
      </c>
      <c r="J90" s="1" t="s">
        <v>21</v>
      </c>
      <c r="K90">
        <v>7500</v>
      </c>
      <c r="L90">
        <v>1711</v>
      </c>
      <c r="M90">
        <v>0</v>
      </c>
      <c r="N9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9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90" s="5">
        <v>66881</v>
      </c>
      <c r="Q90" t="str">
        <f>IF(OR(digital_banking_transactions3[[#This Row],[Nominal_Bersih]]&lt;0,digital_banking_transactions3[[#This Row],[Nominal_Bersih]]=0),"Invalid","Valid")</f>
        <v>Valid</v>
      </c>
      <c r="R9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45647</v>
      </c>
      <c r="S90" s="1" t="str">
        <f>TEXT(digital_banking_transactions3[[#This Row],[Tanggal_Bersih]],"MMMM YYYY")</f>
        <v>December 2024</v>
      </c>
      <c r="T9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9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91" spans="1:21" x14ac:dyDescent="0.35">
      <c r="A91" s="1" t="s">
        <v>426</v>
      </c>
      <c r="B91" s="1" t="s">
        <v>427</v>
      </c>
      <c r="C91" s="1" t="s">
        <v>428</v>
      </c>
      <c r="D91" s="1" t="s">
        <v>75</v>
      </c>
      <c r="E91" s="1" t="s">
        <v>32</v>
      </c>
      <c r="F91" s="1" t="s">
        <v>429</v>
      </c>
      <c r="G91" s="1" t="s">
        <v>41</v>
      </c>
      <c r="H91" s="1" t="s">
        <v>106</v>
      </c>
      <c r="I91" s="1" t="s">
        <v>21</v>
      </c>
      <c r="J91" s="1" t="s">
        <v>121</v>
      </c>
      <c r="K91">
        <v>0</v>
      </c>
      <c r="L91">
        <v>2227</v>
      </c>
      <c r="M91">
        <v>1</v>
      </c>
      <c r="N9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9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91" s="5" t="s">
        <v>429</v>
      </c>
      <c r="Q91" t="str">
        <f>IF(OR(digital_banking_transactions3[[#This Row],[Nominal_Bersih]]&lt;0,digital_banking_transactions3[[#This Row],[Nominal_Bersih]]=0),"Invalid","Valid")</f>
        <v>Valid</v>
      </c>
      <c r="R9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45525</v>
      </c>
      <c r="S91" s="1" t="str">
        <f>TEXT(digital_banking_transactions3[[#This Row],[Tanggal_Bersih]],"MMMM YYYY")</f>
        <v>August 2024</v>
      </c>
      <c r="T9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9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92" spans="1:21" x14ac:dyDescent="0.35">
      <c r="A92" s="1" t="s">
        <v>430</v>
      </c>
      <c r="B92" s="1" t="s">
        <v>431</v>
      </c>
      <c r="C92" s="1" t="s">
        <v>432</v>
      </c>
      <c r="D92" s="1" t="s">
        <v>284</v>
      </c>
      <c r="E92" s="1" t="s">
        <v>52</v>
      </c>
      <c r="F92" s="1">
        <v>2623998</v>
      </c>
      <c r="G92" s="1" t="s">
        <v>65</v>
      </c>
      <c r="H92" s="1" t="s">
        <v>106</v>
      </c>
      <c r="I92" s="1" t="s">
        <v>291</v>
      </c>
      <c r="J92" s="1" t="s">
        <v>121</v>
      </c>
      <c r="K92">
        <v>6500</v>
      </c>
      <c r="L92">
        <v>3446</v>
      </c>
      <c r="M92">
        <v>0</v>
      </c>
      <c r="N9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9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92" s="5">
        <v>2623998</v>
      </c>
      <c r="Q92" t="str">
        <f>IF(OR(digital_banking_transactions3[[#This Row],[Nominal_Bersih]]&lt;0,digital_banking_transactions3[[#This Row],[Nominal_Bersih]]=0),"Invalid","Valid")</f>
        <v>Valid</v>
      </c>
      <c r="R9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45636</v>
      </c>
      <c r="S92" s="1" t="str">
        <f>TEXT(digital_banking_transactions3[[#This Row],[Tanggal_Bersih]],"MMMM YYYY")</f>
        <v>December 2024</v>
      </c>
      <c r="T9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9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93" spans="1:21" x14ac:dyDescent="0.35">
      <c r="A93" s="1" t="s">
        <v>434</v>
      </c>
      <c r="B93" s="1" t="s">
        <v>435</v>
      </c>
      <c r="C93" s="1" t="s">
        <v>436</v>
      </c>
      <c r="D93" s="1" t="s">
        <v>135</v>
      </c>
      <c r="E93" s="1" t="s">
        <v>39</v>
      </c>
      <c r="F93" s="1">
        <v>3727464</v>
      </c>
      <c r="G93" s="1" t="s">
        <v>65</v>
      </c>
      <c r="H93" s="1" t="s">
        <v>42</v>
      </c>
      <c r="I93" s="1" t="s">
        <v>21</v>
      </c>
      <c r="J93" s="1" t="s">
        <v>79</v>
      </c>
      <c r="K93">
        <v>7500</v>
      </c>
      <c r="L93">
        <v>1658</v>
      </c>
      <c r="M93">
        <v>0</v>
      </c>
      <c r="N9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9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93" s="5">
        <v>3727464</v>
      </c>
      <c r="Q93" t="str">
        <f>IF(OR(digital_banking_transactions3[[#This Row],[Nominal_Bersih]]&lt;0,digital_banking_transactions3[[#This Row],[Nominal_Bersih]]=0),"Invalid","Valid")</f>
        <v>Valid</v>
      </c>
      <c r="R9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45292</v>
      </c>
      <c r="S93" s="1" t="str">
        <f>TEXT(digital_banking_transactions3[[#This Row],[Tanggal_Bersih]],"MMMM YYYY")</f>
        <v>January 2024</v>
      </c>
      <c r="T9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9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94" spans="1:21" x14ac:dyDescent="0.35">
      <c r="A94" s="1" t="s">
        <v>438</v>
      </c>
      <c r="B94" s="1" t="s">
        <v>439</v>
      </c>
      <c r="C94" s="1" t="s">
        <v>440</v>
      </c>
      <c r="D94" s="1" t="s">
        <v>110</v>
      </c>
      <c r="E94" s="1" t="s">
        <v>39</v>
      </c>
      <c r="F94" s="1">
        <v>429186</v>
      </c>
      <c r="G94" s="1" t="s">
        <v>65</v>
      </c>
      <c r="H94" s="1" t="s">
        <v>106</v>
      </c>
      <c r="I94" s="1" t="s">
        <v>21</v>
      </c>
      <c r="J94" s="1" t="s">
        <v>21</v>
      </c>
      <c r="K94">
        <v>7500</v>
      </c>
      <c r="L94">
        <v>2776</v>
      </c>
      <c r="M94">
        <v>0</v>
      </c>
      <c r="N9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9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94" s="5">
        <v>429186</v>
      </c>
      <c r="Q94" t="str">
        <f>IF(OR(digital_banking_transactions3[[#This Row],[Nominal_Bersih]]&lt;0,digital_banking_transactions3[[#This Row],[Nominal_Bersih]]=0),"Invalid","Valid")</f>
        <v>Valid</v>
      </c>
      <c r="R9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45639</v>
      </c>
      <c r="S94" s="1" t="str">
        <f>TEXT(digital_banking_transactions3[[#This Row],[Tanggal_Bersih]],"MMMM YYYY")</f>
        <v>December 2024</v>
      </c>
      <c r="T9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9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95" spans="1:21" x14ac:dyDescent="0.35">
      <c r="A95" s="1" t="s">
        <v>442</v>
      </c>
      <c r="B95" s="1" t="s">
        <v>443</v>
      </c>
      <c r="C95" s="1" t="s">
        <v>444</v>
      </c>
      <c r="D95" s="1" t="s">
        <v>75</v>
      </c>
      <c r="E95" s="1" t="s">
        <v>32</v>
      </c>
      <c r="F95" s="1" t="s">
        <v>445</v>
      </c>
      <c r="G95" s="1" t="s">
        <v>41</v>
      </c>
      <c r="H95" s="1" t="s">
        <v>60</v>
      </c>
      <c r="I95" s="1" t="s">
        <v>21</v>
      </c>
      <c r="J95" s="1" t="s">
        <v>21</v>
      </c>
      <c r="K95">
        <v>0</v>
      </c>
      <c r="L95">
        <v>205</v>
      </c>
      <c r="M95">
        <v>0</v>
      </c>
      <c r="N9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9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95" s="5" t="s">
        <v>445</v>
      </c>
      <c r="Q95" t="str">
        <f>IF(OR(digital_banking_transactions3[[#This Row],[Nominal_Bersih]]&lt;0,digital_banking_transactions3[[#This Row],[Nominal_Bersih]]=0),"Invalid","Valid")</f>
        <v>Valid</v>
      </c>
      <c r="R9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45348</v>
      </c>
      <c r="S95" s="1" t="str">
        <f>TEXT(digital_banking_transactions3[[#This Row],[Tanggal_Bersih]],"MMMM YYYY")</f>
        <v>February 2024</v>
      </c>
      <c r="T9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9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96" spans="1:21" x14ac:dyDescent="0.35">
      <c r="A96" s="1" t="s">
        <v>446</v>
      </c>
      <c r="B96" s="1" t="s">
        <v>447</v>
      </c>
      <c r="C96" s="1" t="s">
        <v>448</v>
      </c>
      <c r="D96" s="1" t="s">
        <v>167</v>
      </c>
      <c r="E96" s="1" t="s">
        <v>17</v>
      </c>
      <c r="F96" s="1" t="s">
        <v>449</v>
      </c>
      <c r="G96" s="1" t="s">
        <v>126</v>
      </c>
      <c r="H96" s="1" t="s">
        <v>42</v>
      </c>
      <c r="I96" s="1" t="s">
        <v>21</v>
      </c>
      <c r="J96" s="1" t="s">
        <v>21</v>
      </c>
      <c r="K96">
        <v>2500</v>
      </c>
      <c r="L96">
        <v>3167</v>
      </c>
      <c r="M96">
        <v>0</v>
      </c>
      <c r="N9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9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96" s="5" t="s">
        <v>449</v>
      </c>
      <c r="Q96" t="str">
        <f>IF(OR(digital_banking_transactions3[[#This Row],[Nominal_Bersih]]&lt;0,digital_banking_transactions3[[#This Row],[Nominal_Bersih]]=0),"Invalid","Valid")</f>
        <v>Valid</v>
      </c>
      <c r="R9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45638</v>
      </c>
      <c r="S96" s="1" t="str">
        <f>TEXT(digital_banking_transactions3[[#This Row],[Tanggal_Bersih]],"MMMM YYYY")</f>
        <v>December 2024</v>
      </c>
      <c r="T9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9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97" spans="1:21" x14ac:dyDescent="0.35">
      <c r="A97" s="1" t="s">
        <v>450</v>
      </c>
      <c r="B97" s="1" t="s">
        <v>451</v>
      </c>
      <c r="C97" s="1" t="s">
        <v>452</v>
      </c>
      <c r="D97" s="1" t="s">
        <v>75</v>
      </c>
      <c r="E97" s="1" t="s">
        <v>52</v>
      </c>
      <c r="F97" s="1">
        <v>3627782200</v>
      </c>
      <c r="G97" s="1" t="s">
        <v>34</v>
      </c>
      <c r="H97" s="1" t="s">
        <v>20</v>
      </c>
      <c r="I97" s="1" t="s">
        <v>138</v>
      </c>
      <c r="J97" s="1" t="s">
        <v>226</v>
      </c>
      <c r="K97">
        <v>6500</v>
      </c>
      <c r="L97">
        <v>2278</v>
      </c>
      <c r="M97">
        <v>0</v>
      </c>
      <c r="N9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9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97" s="5">
        <v>3627782200</v>
      </c>
      <c r="Q97" t="str">
        <f>IF(OR(digital_banking_transactions3[[#This Row],[Nominal_Bersih]]&lt;0,digital_banking_transactions3[[#This Row],[Nominal_Bersih]]=0),"Invalid","Valid")</f>
        <v>Valid</v>
      </c>
      <c r="R9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45420</v>
      </c>
      <c r="S97" s="1" t="str">
        <f>TEXT(digital_banking_transactions3[[#This Row],[Tanggal_Bersih]],"MMMM YYYY")</f>
        <v>May 2024</v>
      </c>
      <c r="T9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9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98" spans="1:21" x14ac:dyDescent="0.35">
      <c r="A98" s="1" t="s">
        <v>454</v>
      </c>
      <c r="B98" s="1" t="s">
        <v>455</v>
      </c>
      <c r="C98" s="1" t="s">
        <v>456</v>
      </c>
      <c r="D98" s="1" t="s">
        <v>254</v>
      </c>
      <c r="E98" s="1" t="s">
        <v>94</v>
      </c>
      <c r="F98" s="1" t="s">
        <v>457</v>
      </c>
      <c r="G98" s="1" t="s">
        <v>126</v>
      </c>
      <c r="H98" s="1" t="s">
        <v>35</v>
      </c>
      <c r="I98" s="1" t="s">
        <v>21</v>
      </c>
      <c r="J98" s="1" t="s">
        <v>121</v>
      </c>
      <c r="K98">
        <v>1500</v>
      </c>
      <c r="M98">
        <v>0</v>
      </c>
      <c r="N9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9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98" s="5" t="s">
        <v>457</v>
      </c>
      <c r="Q98" t="str">
        <f>IF(OR(digital_banking_transactions3[[#This Row],[Nominal_Bersih]]&lt;0,digital_banking_transactions3[[#This Row],[Nominal_Bersih]]=0),"Invalid","Valid")</f>
        <v>Valid</v>
      </c>
      <c r="R9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45360</v>
      </c>
      <c r="S98" s="1" t="str">
        <f>TEXT(digital_banking_transactions3[[#This Row],[Tanggal_Bersih]],"MMMM YYYY")</f>
        <v>March 2024</v>
      </c>
      <c r="T9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9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99" spans="1:21" x14ac:dyDescent="0.35">
      <c r="A99" s="1" t="s">
        <v>458</v>
      </c>
      <c r="B99" s="1" t="s">
        <v>459</v>
      </c>
      <c r="C99" s="1" t="s">
        <v>460</v>
      </c>
      <c r="D99" s="1" t="s">
        <v>58</v>
      </c>
      <c r="E99" s="1" t="s">
        <v>17</v>
      </c>
      <c r="F99" s="1">
        <v>36040341</v>
      </c>
      <c r="G99" s="1" t="s">
        <v>137</v>
      </c>
      <c r="H99" s="1" t="s">
        <v>42</v>
      </c>
      <c r="I99" s="1" t="s">
        <v>21</v>
      </c>
      <c r="J99" s="1" t="s">
        <v>21</v>
      </c>
      <c r="K99">
        <v>2500</v>
      </c>
      <c r="M99">
        <v>1</v>
      </c>
      <c r="N9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9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99" s="5">
        <v>36040341</v>
      </c>
      <c r="Q99" t="str">
        <f>IF(OR(digital_banking_transactions3[[#This Row],[Nominal_Bersih]]&lt;0,digital_banking_transactions3[[#This Row],[Nominal_Bersih]]=0),"Invalid","Valid")</f>
        <v>Valid</v>
      </c>
      <c r="R9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45656</v>
      </c>
      <c r="S99" s="1" t="str">
        <f>TEXT(digital_banking_transactions3[[#This Row],[Tanggal_Bersih]],"MMMM YYYY")</f>
        <v>December 2024</v>
      </c>
      <c r="T9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9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100" spans="1:21" x14ac:dyDescent="0.35">
      <c r="A100" s="1" t="s">
        <v>462</v>
      </c>
      <c r="B100" s="1" t="s">
        <v>463</v>
      </c>
      <c r="C100" s="1" t="s">
        <v>464</v>
      </c>
      <c r="D100" s="1" t="s">
        <v>58</v>
      </c>
      <c r="E100" s="1" t="s">
        <v>17</v>
      </c>
      <c r="F100" s="1">
        <v>146527</v>
      </c>
      <c r="G100" s="1" t="s">
        <v>65</v>
      </c>
      <c r="H100" s="1" t="s">
        <v>96</v>
      </c>
      <c r="I100" s="1" t="s">
        <v>21</v>
      </c>
      <c r="J100" s="1" t="s">
        <v>21</v>
      </c>
      <c r="K100">
        <v>2500</v>
      </c>
      <c r="L100">
        <v>2764</v>
      </c>
      <c r="M100">
        <v>0</v>
      </c>
      <c r="N10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0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00" s="5">
        <v>146527</v>
      </c>
      <c r="Q100" t="str">
        <f>IF(OR(digital_banking_transactions3[[#This Row],[Nominal_Bersih]]&lt;0,digital_banking_transactions3[[#This Row],[Nominal_Bersih]]=0),"Invalid","Valid")</f>
        <v>Valid</v>
      </c>
      <c r="R10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45465</v>
      </c>
      <c r="S100" s="1" t="str">
        <f>TEXT(digital_banking_transactions3[[#This Row],[Tanggal_Bersih]],"MMMM YYYY")</f>
        <v>June 2024</v>
      </c>
      <c r="T10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0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01" spans="1:21" x14ac:dyDescent="0.35">
      <c r="A101" s="1" t="s">
        <v>466</v>
      </c>
      <c r="B101" s="1" t="s">
        <v>467</v>
      </c>
      <c r="C101" s="1" t="s">
        <v>468</v>
      </c>
      <c r="D101" s="1" t="s">
        <v>75</v>
      </c>
      <c r="E101" s="1" t="s">
        <v>32</v>
      </c>
      <c r="F101" s="1">
        <v>42891800</v>
      </c>
      <c r="G101" s="1" t="s">
        <v>41</v>
      </c>
      <c r="H101" s="1" t="s">
        <v>42</v>
      </c>
      <c r="I101" s="1" t="s">
        <v>21</v>
      </c>
      <c r="J101" s="1" t="s">
        <v>21</v>
      </c>
      <c r="K101">
        <v>0</v>
      </c>
      <c r="L101">
        <v>1749</v>
      </c>
      <c r="M101">
        <v>0</v>
      </c>
      <c r="N10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0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01" s="5">
        <v>42891800</v>
      </c>
      <c r="Q101" t="str">
        <f>IF(OR(digital_banking_transactions3[[#This Row],[Nominal_Bersih]]&lt;0,digital_banking_transactions3[[#This Row],[Nominal_Bersih]]=0),"Invalid","Valid")</f>
        <v>Valid</v>
      </c>
      <c r="R10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45399</v>
      </c>
      <c r="S101" s="1" t="str">
        <f>TEXT(digital_banking_transactions3[[#This Row],[Tanggal_Bersih]],"MMMM YYYY")</f>
        <v>April 2024</v>
      </c>
      <c r="T10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0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02" spans="1:21" x14ac:dyDescent="0.35">
      <c r="A102" s="1" t="s">
        <v>473</v>
      </c>
      <c r="B102" s="1" t="s">
        <v>474</v>
      </c>
      <c r="C102" s="1" t="s">
        <v>475</v>
      </c>
      <c r="D102" s="1" t="s">
        <v>16</v>
      </c>
      <c r="E102" s="1" t="s">
        <v>39</v>
      </c>
      <c r="F102" s="1">
        <v>4228563</v>
      </c>
      <c r="G102" s="1" t="s">
        <v>34</v>
      </c>
      <c r="H102" s="1" t="s">
        <v>42</v>
      </c>
      <c r="I102" s="1" t="s">
        <v>21</v>
      </c>
      <c r="J102" s="1" t="s">
        <v>21</v>
      </c>
      <c r="K102">
        <v>7500</v>
      </c>
      <c r="L102">
        <v>4501</v>
      </c>
      <c r="M102">
        <v>0</v>
      </c>
      <c r="N10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0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02" s="5">
        <v>4228563</v>
      </c>
      <c r="Q102" t="str">
        <f>IF(OR(digital_banking_transactions3[[#This Row],[Nominal_Bersih]]&lt;0,digital_banking_transactions3[[#This Row],[Nominal_Bersih]]=0),"Invalid","Valid")</f>
        <v>Valid</v>
      </c>
      <c r="R10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45306</v>
      </c>
      <c r="S102" s="1" t="str">
        <f>TEXT(digital_banking_transactions3[[#This Row],[Tanggal_Bersih]],"MMMM YYYY")</f>
        <v>January 2024</v>
      </c>
      <c r="T10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0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03" spans="1:21" x14ac:dyDescent="0.35">
      <c r="A103" s="1" t="s">
        <v>477</v>
      </c>
      <c r="B103" s="1" t="s">
        <v>478</v>
      </c>
      <c r="C103" s="1" t="s">
        <v>479</v>
      </c>
      <c r="D103" s="1" t="s">
        <v>58</v>
      </c>
      <c r="E103" s="1" t="s">
        <v>94</v>
      </c>
      <c r="F103" s="1" t="s">
        <v>480</v>
      </c>
      <c r="G103" s="1" t="s">
        <v>41</v>
      </c>
      <c r="H103" s="1" t="s">
        <v>106</v>
      </c>
      <c r="I103" s="1" t="s">
        <v>21</v>
      </c>
      <c r="J103" s="1" t="s">
        <v>21</v>
      </c>
      <c r="K103">
        <v>1500</v>
      </c>
      <c r="L103">
        <v>2226</v>
      </c>
      <c r="M103">
        <v>0</v>
      </c>
      <c r="N10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0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03" s="5" t="s">
        <v>480</v>
      </c>
      <c r="Q103" t="str">
        <f>IF(OR(digital_banking_transactions3[[#This Row],[Nominal_Bersih]]&lt;0,digital_banking_transactions3[[#This Row],[Nominal_Bersih]]=0),"Invalid","Valid")</f>
        <v>Valid</v>
      </c>
      <c r="R10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45655</v>
      </c>
      <c r="S103" s="1" t="str">
        <f>TEXT(digital_banking_transactions3[[#This Row],[Tanggal_Bersih]],"MMMM YYYY")</f>
        <v>December 2024</v>
      </c>
      <c r="T10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0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04" spans="1:21" x14ac:dyDescent="0.35">
      <c r="A104" s="1" t="s">
        <v>481</v>
      </c>
      <c r="B104" s="1" t="s">
        <v>482</v>
      </c>
      <c r="C104" s="1" t="s">
        <v>483</v>
      </c>
      <c r="D104" s="1" t="s">
        <v>75</v>
      </c>
      <c r="E104" s="1" t="s">
        <v>17</v>
      </c>
      <c r="F104" s="1" t="s">
        <v>484</v>
      </c>
      <c r="G104" s="1" t="s">
        <v>485</v>
      </c>
      <c r="H104" s="1" t="s">
        <v>54</v>
      </c>
      <c r="I104" s="1" t="s">
        <v>21</v>
      </c>
      <c r="J104" s="1" t="s">
        <v>21</v>
      </c>
      <c r="K104">
        <v>2500</v>
      </c>
      <c r="L104">
        <v>693</v>
      </c>
      <c r="M104">
        <v>0</v>
      </c>
      <c r="N10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0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04" s="5" t="s">
        <v>484</v>
      </c>
      <c r="Q104" t="str">
        <f>IF(OR(digital_banking_transactions3[[#This Row],[Nominal_Bersih]]&lt;0,digital_banking_transactions3[[#This Row],[Nominal_Bersih]]=0),"Invalid","Valid")</f>
        <v>Valid</v>
      </c>
      <c r="R10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45476</v>
      </c>
      <c r="S104" s="1" t="str">
        <f>TEXT(digital_banking_transactions3[[#This Row],[Tanggal_Bersih]],"MMMM YYYY")</f>
        <v>July 2024</v>
      </c>
      <c r="T10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0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05" spans="1:21" x14ac:dyDescent="0.35">
      <c r="A105" s="1" t="s">
        <v>486</v>
      </c>
      <c r="B105" s="1" t="s">
        <v>252</v>
      </c>
      <c r="C105" s="1" t="s">
        <v>487</v>
      </c>
      <c r="D105" s="1" t="s">
        <v>16</v>
      </c>
      <c r="E105" s="1" t="s">
        <v>52</v>
      </c>
      <c r="F105" s="1">
        <v>26744222</v>
      </c>
      <c r="G105" s="1" t="s">
        <v>126</v>
      </c>
      <c r="H105" s="1" t="s">
        <v>106</v>
      </c>
      <c r="I105" s="1" t="s">
        <v>78</v>
      </c>
      <c r="J105" s="1" t="s">
        <v>21</v>
      </c>
      <c r="K105">
        <v>6500</v>
      </c>
      <c r="L105">
        <v>3125</v>
      </c>
      <c r="M105">
        <v>0</v>
      </c>
      <c r="N10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0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05" s="5">
        <v>26744222</v>
      </c>
      <c r="Q105" t="str">
        <f>IF(OR(digital_banking_transactions3[[#This Row],[Nominal_Bersih]]&lt;0,digital_banking_transactions3[[#This Row],[Nominal_Bersih]]=0),"Invalid","Valid")</f>
        <v>Valid</v>
      </c>
      <c r="R10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45613</v>
      </c>
      <c r="S105" s="1" t="str">
        <f>TEXT(digital_banking_transactions3[[#This Row],[Tanggal_Bersih]],"MMMM YYYY")</f>
        <v>November 2024</v>
      </c>
      <c r="T10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0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06" spans="1:21" x14ac:dyDescent="0.35">
      <c r="A106" s="1" t="s">
        <v>489</v>
      </c>
      <c r="B106" s="1" t="s">
        <v>490</v>
      </c>
      <c r="C106" s="1" t="s">
        <v>491</v>
      </c>
      <c r="D106" s="1" t="s">
        <v>16</v>
      </c>
      <c r="E106" s="1" t="s">
        <v>32</v>
      </c>
      <c r="F106" s="1">
        <v>26634021</v>
      </c>
      <c r="G106" s="1" t="s">
        <v>89</v>
      </c>
      <c r="H106" s="1" t="s">
        <v>42</v>
      </c>
      <c r="I106" s="1" t="s">
        <v>21</v>
      </c>
      <c r="J106" s="1" t="s">
        <v>21</v>
      </c>
      <c r="K106">
        <v>0</v>
      </c>
      <c r="L106">
        <v>1533</v>
      </c>
      <c r="M106">
        <v>0</v>
      </c>
      <c r="N10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0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06" s="5">
        <v>26634021</v>
      </c>
      <c r="Q106" t="str">
        <f>IF(OR(digital_banking_transactions3[[#This Row],[Nominal_Bersih]]&lt;0,digital_banking_transactions3[[#This Row],[Nominal_Bersih]]=0),"Invalid","Valid")</f>
        <v>Valid</v>
      </c>
      <c r="R10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45615</v>
      </c>
      <c r="S106" s="1" t="str">
        <f>TEXT(digital_banking_transactions3[[#This Row],[Tanggal_Bersih]],"MMMM YYYY")</f>
        <v>November 2024</v>
      </c>
      <c r="T10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0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07" spans="1:21" x14ac:dyDescent="0.35">
      <c r="A107" s="1" t="s">
        <v>493</v>
      </c>
      <c r="B107" s="1" t="s">
        <v>494</v>
      </c>
      <c r="C107" s="1" t="s">
        <v>495</v>
      </c>
      <c r="D107" s="1" t="s">
        <v>16</v>
      </c>
      <c r="E107" s="1" t="s">
        <v>94</v>
      </c>
      <c r="F107" s="1" t="s">
        <v>496</v>
      </c>
      <c r="G107" s="1" t="s">
        <v>41</v>
      </c>
      <c r="H107" s="1" t="s">
        <v>54</v>
      </c>
      <c r="I107" s="1" t="s">
        <v>21</v>
      </c>
      <c r="J107" s="1" t="s">
        <v>21</v>
      </c>
      <c r="K107">
        <v>1500</v>
      </c>
      <c r="L107">
        <v>4145</v>
      </c>
      <c r="M107">
        <v>0</v>
      </c>
      <c r="N10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0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07" s="5" t="s">
        <v>496</v>
      </c>
      <c r="Q107" t="str">
        <f>IF(OR(digital_banking_transactions3[[#This Row],[Nominal_Bersih]]&lt;0,digital_banking_transactions3[[#This Row],[Nominal_Bersih]]=0),"Invalid","Valid")</f>
        <v>Valid</v>
      </c>
      <c r="R10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45561</v>
      </c>
      <c r="S107" s="1" t="str">
        <f>TEXT(digital_banking_transactions3[[#This Row],[Tanggal_Bersih]],"MMMM YYYY")</f>
        <v>September 2024</v>
      </c>
      <c r="T10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0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08" spans="1:21" x14ac:dyDescent="0.35">
      <c r="A108" s="1" t="s">
        <v>497</v>
      </c>
      <c r="B108" s="1" t="s">
        <v>498</v>
      </c>
      <c r="C108" s="1" t="s">
        <v>499</v>
      </c>
      <c r="D108" s="1" t="s">
        <v>16</v>
      </c>
      <c r="E108" s="1" t="s">
        <v>32</v>
      </c>
      <c r="F108" s="1" t="s">
        <v>500</v>
      </c>
      <c r="G108" s="1" t="s">
        <v>126</v>
      </c>
      <c r="H108" s="1" t="s">
        <v>42</v>
      </c>
      <c r="I108" s="1" t="s">
        <v>21</v>
      </c>
      <c r="J108" s="1" t="s">
        <v>21</v>
      </c>
      <c r="K108">
        <v>0</v>
      </c>
      <c r="L108">
        <v>993</v>
      </c>
      <c r="M108">
        <v>0</v>
      </c>
      <c r="N10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0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08" s="5" t="s">
        <v>500</v>
      </c>
      <c r="Q108" t="str">
        <f>IF(OR(digital_banking_transactions3[[#This Row],[Nominal_Bersih]]&lt;0,digital_banking_transactions3[[#This Row],[Nominal_Bersih]]=0),"Invalid","Valid")</f>
        <v>Valid</v>
      </c>
      <c r="R10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45322</v>
      </c>
      <c r="S108" s="1" t="str">
        <f>TEXT(digital_banking_transactions3[[#This Row],[Tanggal_Bersih]],"MMMM YYYY")</f>
        <v>January 2024</v>
      </c>
      <c r="T10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0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09" spans="1:21" x14ac:dyDescent="0.35">
      <c r="A109" s="1" t="s">
        <v>501</v>
      </c>
      <c r="B109" s="1" t="s">
        <v>502</v>
      </c>
      <c r="C109" s="1" t="s">
        <v>503</v>
      </c>
      <c r="D109" s="1" t="s">
        <v>58</v>
      </c>
      <c r="E109" s="1" t="s">
        <v>52</v>
      </c>
      <c r="F109" s="1">
        <v>49517002</v>
      </c>
      <c r="G109" s="1" t="s">
        <v>126</v>
      </c>
      <c r="H109" s="1" t="s">
        <v>42</v>
      </c>
      <c r="I109" s="1" t="s">
        <v>505</v>
      </c>
      <c r="J109" s="1" t="s">
        <v>21</v>
      </c>
      <c r="K109">
        <v>6500</v>
      </c>
      <c r="L109">
        <v>4117</v>
      </c>
      <c r="M109">
        <v>0</v>
      </c>
      <c r="N10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0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09" s="5">
        <v>49517002</v>
      </c>
      <c r="Q109" t="str">
        <f>IF(OR(digital_banking_transactions3[[#This Row],[Nominal_Bersih]]&lt;0,digital_banking_transactions3[[#This Row],[Nominal_Bersih]]=0),"Invalid","Valid")</f>
        <v>Valid</v>
      </c>
      <c r="R10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45638</v>
      </c>
      <c r="S109" s="1" t="str">
        <f>TEXT(digital_banking_transactions3[[#This Row],[Tanggal_Bersih]],"MMMM YYYY")</f>
        <v>December 2024</v>
      </c>
      <c r="T10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0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10" spans="1:21" x14ac:dyDescent="0.35">
      <c r="A110" s="1" t="s">
        <v>506</v>
      </c>
      <c r="B110" s="1" t="s">
        <v>507</v>
      </c>
      <c r="C110" s="1" t="s">
        <v>508</v>
      </c>
      <c r="D110" s="1" t="s">
        <v>75</v>
      </c>
      <c r="E110" s="1" t="s">
        <v>94</v>
      </c>
      <c r="F110" s="1">
        <v>31500400</v>
      </c>
      <c r="G110" s="1" t="s">
        <v>41</v>
      </c>
      <c r="H110" s="1" t="s">
        <v>42</v>
      </c>
      <c r="I110" s="1" t="s">
        <v>21</v>
      </c>
      <c r="J110" s="1" t="s">
        <v>21</v>
      </c>
      <c r="K110">
        <v>1500</v>
      </c>
      <c r="L110">
        <v>4854</v>
      </c>
      <c r="M110">
        <v>0</v>
      </c>
      <c r="N11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1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10" s="5">
        <v>31500400</v>
      </c>
      <c r="Q110" t="str">
        <f>IF(OR(digital_banking_transactions3[[#This Row],[Nominal_Bersih]]&lt;0,digital_banking_transactions3[[#This Row],[Nominal_Bersih]]=0),"Invalid","Valid")</f>
        <v>Valid</v>
      </c>
      <c r="R11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45643</v>
      </c>
      <c r="S110" s="1" t="str">
        <f>TEXT(digital_banking_transactions3[[#This Row],[Tanggal_Bersih]],"MMMM YYYY")</f>
        <v>December 2024</v>
      </c>
      <c r="T11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1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11" spans="1:21" x14ac:dyDescent="0.35">
      <c r="A111" s="1" t="s">
        <v>510</v>
      </c>
      <c r="B111" s="1" t="s">
        <v>511</v>
      </c>
      <c r="C111" s="1" t="s">
        <v>512</v>
      </c>
      <c r="D111" s="1" t="s">
        <v>16</v>
      </c>
      <c r="E111" s="1" t="s">
        <v>39</v>
      </c>
      <c r="F111" s="1" t="s">
        <v>513</v>
      </c>
      <c r="G111" s="1" t="s">
        <v>19</v>
      </c>
      <c r="H111" s="1" t="s">
        <v>35</v>
      </c>
      <c r="I111" s="1" t="s">
        <v>21</v>
      </c>
      <c r="J111" s="1" t="s">
        <v>21</v>
      </c>
      <c r="K111">
        <v>7500</v>
      </c>
      <c r="L111">
        <v>3108</v>
      </c>
      <c r="M111">
        <v>0</v>
      </c>
      <c r="N11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1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11" s="5" t="s">
        <v>513</v>
      </c>
      <c r="Q111" t="str">
        <f>IF(OR(digital_banking_transactions3[[#This Row],[Nominal_Bersih]]&lt;0,digital_banking_transactions3[[#This Row],[Nominal_Bersih]]=0),"Invalid","Valid")</f>
        <v>Valid</v>
      </c>
      <c r="R11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45429</v>
      </c>
      <c r="S111" s="1" t="str">
        <f>TEXT(digital_banking_transactions3[[#This Row],[Tanggal_Bersih]],"MMMM YYYY")</f>
        <v>May 2024</v>
      </c>
      <c r="T11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1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12" spans="1:21" x14ac:dyDescent="0.35">
      <c r="A112" s="1" t="s">
        <v>514</v>
      </c>
      <c r="B112" s="1" t="s">
        <v>515</v>
      </c>
      <c r="C112" s="1" t="s">
        <v>516</v>
      </c>
      <c r="D112" s="1" t="s">
        <v>25</v>
      </c>
      <c r="E112" s="1" t="s">
        <v>52</v>
      </c>
      <c r="F112" s="4">
        <v>23252308</v>
      </c>
      <c r="G112" s="1" t="s">
        <v>41</v>
      </c>
      <c r="H112" s="1" t="s">
        <v>42</v>
      </c>
      <c r="I112" s="1" t="s">
        <v>138</v>
      </c>
      <c r="J112" s="1" t="s">
        <v>121</v>
      </c>
      <c r="K112">
        <v>6500</v>
      </c>
      <c r="L112">
        <v>1144</v>
      </c>
      <c r="M112">
        <v>1</v>
      </c>
      <c r="N11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1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12" s="5">
        <v>23252308</v>
      </c>
      <c r="Q112" t="str">
        <f>IF(OR(digital_banking_transactions3[[#This Row],[Nominal_Bersih]]&lt;0,digital_banking_transactions3[[#This Row],[Nominal_Bersih]]=0),"Invalid","Valid")</f>
        <v>Valid</v>
      </c>
      <c r="R11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45482</v>
      </c>
      <c r="S112" s="1" t="str">
        <f>TEXT(digital_banking_transactions3[[#This Row],[Tanggal_Bersih]],"MMMM YYYY")</f>
        <v>July 2024</v>
      </c>
      <c r="T11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1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13" spans="1:21" x14ac:dyDescent="0.35">
      <c r="A113" s="1" t="s">
        <v>518</v>
      </c>
      <c r="B113" s="1" t="s">
        <v>519</v>
      </c>
      <c r="C113" s="1" t="s">
        <v>520</v>
      </c>
      <c r="D113" s="1" t="s">
        <v>25</v>
      </c>
      <c r="E113" s="1" t="s">
        <v>94</v>
      </c>
      <c r="F113" s="4">
        <v>5881012</v>
      </c>
      <c r="G113" s="1" t="s">
        <v>41</v>
      </c>
      <c r="H113" s="1" t="s">
        <v>42</v>
      </c>
      <c r="I113" s="1" t="s">
        <v>21</v>
      </c>
      <c r="J113" s="1" t="s">
        <v>21</v>
      </c>
      <c r="K113">
        <v>1500</v>
      </c>
      <c r="L113">
        <v>1265</v>
      </c>
      <c r="M113">
        <v>0</v>
      </c>
      <c r="N11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1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13" s="5">
        <v>5881012</v>
      </c>
      <c r="Q113" t="str">
        <f>IF(OR(digital_banking_transactions3[[#This Row],[Nominal_Bersih]]&lt;0,digital_banking_transactions3[[#This Row],[Nominal_Bersih]]=0),"Invalid","Valid")</f>
        <v>Valid</v>
      </c>
      <c r="R11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45577</v>
      </c>
      <c r="S113" s="1" t="str">
        <f>TEXT(digital_banking_transactions3[[#This Row],[Tanggal_Bersih]],"MMMM YYYY")</f>
        <v>October 2024</v>
      </c>
      <c r="T11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1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14" spans="1:21" x14ac:dyDescent="0.35">
      <c r="A114" s="1" t="s">
        <v>522</v>
      </c>
      <c r="B114" s="1" t="s">
        <v>523</v>
      </c>
      <c r="C114" s="1" t="s">
        <v>524</v>
      </c>
      <c r="D114" s="1" t="s">
        <v>46</v>
      </c>
      <c r="E114" s="1" t="s">
        <v>52</v>
      </c>
      <c r="F114" s="1" t="s">
        <v>525</v>
      </c>
      <c r="G114" s="1" t="s">
        <v>41</v>
      </c>
      <c r="H114" s="1" t="s">
        <v>54</v>
      </c>
      <c r="I114" s="1" t="s">
        <v>138</v>
      </c>
      <c r="J114" s="1" t="s">
        <v>21</v>
      </c>
      <c r="K114">
        <v>6500</v>
      </c>
      <c r="L114">
        <v>2225</v>
      </c>
      <c r="M114">
        <v>0</v>
      </c>
      <c r="N11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1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14" s="5" t="s">
        <v>525</v>
      </c>
      <c r="Q114" t="str">
        <f>IF(OR(digital_banking_transactions3[[#This Row],[Nominal_Bersih]]&lt;0,digital_banking_transactions3[[#This Row],[Nominal_Bersih]]=0),"Invalid","Valid")</f>
        <v>Valid</v>
      </c>
      <c r="R11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45648</v>
      </c>
      <c r="S114" s="1" t="str">
        <f>TEXT(digital_banking_transactions3[[#This Row],[Tanggal_Bersih]],"MMMM YYYY")</f>
        <v>December 2024</v>
      </c>
      <c r="T11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1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15" spans="1:21" x14ac:dyDescent="0.35">
      <c r="A115" s="1" t="s">
        <v>526</v>
      </c>
      <c r="B115" s="1" t="s">
        <v>527</v>
      </c>
      <c r="C115" s="1" t="s">
        <v>528</v>
      </c>
      <c r="D115" s="1" t="s">
        <v>93</v>
      </c>
      <c r="E115" s="1" t="s">
        <v>17</v>
      </c>
      <c r="F115" s="1">
        <v>6337344</v>
      </c>
      <c r="G115" s="1" t="s">
        <v>34</v>
      </c>
      <c r="H115" s="1" t="s">
        <v>42</v>
      </c>
      <c r="I115" s="1" t="s">
        <v>21</v>
      </c>
      <c r="J115" s="1" t="s">
        <v>286</v>
      </c>
      <c r="K115">
        <v>2500</v>
      </c>
      <c r="L115">
        <v>4511</v>
      </c>
      <c r="M115">
        <v>0</v>
      </c>
      <c r="N11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1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15" s="5">
        <v>6337344</v>
      </c>
      <c r="Q115" t="str">
        <f>IF(OR(digital_banking_transactions3[[#This Row],[Nominal_Bersih]]&lt;0,digital_banking_transactions3[[#This Row],[Nominal_Bersih]]=0),"Invalid","Valid")</f>
        <v>Valid</v>
      </c>
      <c r="R11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45544</v>
      </c>
      <c r="S115" s="1" t="str">
        <f>TEXT(digital_banking_transactions3[[#This Row],[Tanggal_Bersih]],"MMMM YYYY")</f>
        <v>September 2024</v>
      </c>
      <c r="T11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1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16" spans="1:21" x14ac:dyDescent="0.35">
      <c r="A116" s="1" t="s">
        <v>530</v>
      </c>
      <c r="B116" s="1" t="s">
        <v>531</v>
      </c>
      <c r="C116" s="1" t="s">
        <v>532</v>
      </c>
      <c r="D116" s="1" t="s">
        <v>58</v>
      </c>
      <c r="E116" s="1" t="s">
        <v>39</v>
      </c>
      <c r="F116" s="1" t="s">
        <v>533</v>
      </c>
      <c r="G116" s="1" t="s">
        <v>126</v>
      </c>
      <c r="H116" s="1" t="s">
        <v>20</v>
      </c>
      <c r="I116" s="1" t="s">
        <v>21</v>
      </c>
      <c r="J116" s="1" t="s">
        <v>21</v>
      </c>
      <c r="K116">
        <v>7500</v>
      </c>
      <c r="L116">
        <v>1135</v>
      </c>
      <c r="M116">
        <v>0</v>
      </c>
      <c r="N11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1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16" s="5" t="s">
        <v>533</v>
      </c>
      <c r="Q116" t="str">
        <f>IF(OR(digital_banking_transactions3[[#This Row],[Nominal_Bersih]]&lt;0,digital_banking_transactions3[[#This Row],[Nominal_Bersih]]=0),"Invalid","Valid")</f>
        <v>Valid</v>
      </c>
      <c r="R11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45345</v>
      </c>
      <c r="S116" s="1" t="str">
        <f>TEXT(digital_banking_transactions3[[#This Row],[Tanggal_Bersih]],"MMMM YYYY")</f>
        <v>February 2024</v>
      </c>
      <c r="T11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1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17" spans="1:21" x14ac:dyDescent="0.35">
      <c r="A117" s="1" t="s">
        <v>534</v>
      </c>
      <c r="B117" s="1" t="s">
        <v>535</v>
      </c>
      <c r="C117" s="1" t="s">
        <v>536</v>
      </c>
      <c r="D117" s="1" t="s">
        <v>75</v>
      </c>
      <c r="E117" s="1" t="s">
        <v>94</v>
      </c>
      <c r="F117" s="1">
        <v>359065</v>
      </c>
      <c r="G117" s="1" t="s">
        <v>195</v>
      </c>
      <c r="H117" s="1" t="s">
        <v>77</v>
      </c>
      <c r="I117" s="1" t="s">
        <v>21</v>
      </c>
      <c r="J117" s="1" t="s">
        <v>21</v>
      </c>
      <c r="K117">
        <v>1500</v>
      </c>
      <c r="L117">
        <v>2973</v>
      </c>
      <c r="M117">
        <v>0</v>
      </c>
      <c r="N11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1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17" s="5">
        <v>359065</v>
      </c>
      <c r="Q117" t="str">
        <f>IF(OR(digital_banking_transactions3[[#This Row],[Nominal_Bersih]]&lt;0,digital_banking_transactions3[[#This Row],[Nominal_Bersih]]=0),"Invalid","Valid")</f>
        <v>Valid</v>
      </c>
      <c r="R11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45408</v>
      </c>
      <c r="S117" s="1" t="str">
        <f>TEXT(digital_banking_transactions3[[#This Row],[Tanggal_Bersih]],"MMMM YYYY")</f>
        <v>April 2024</v>
      </c>
      <c r="T11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1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18" spans="1:21" x14ac:dyDescent="0.35">
      <c r="A118" s="1" t="s">
        <v>538</v>
      </c>
      <c r="B118" s="1" t="s">
        <v>539</v>
      </c>
      <c r="C118" s="1" t="s">
        <v>540</v>
      </c>
      <c r="D118" s="1" t="s">
        <v>93</v>
      </c>
      <c r="E118" s="1" t="s">
        <v>39</v>
      </c>
      <c r="F118" s="1">
        <v>13998401</v>
      </c>
      <c r="G118" s="1" t="s">
        <v>65</v>
      </c>
      <c r="H118" s="1" t="s">
        <v>77</v>
      </c>
      <c r="I118" s="1" t="s">
        <v>21</v>
      </c>
      <c r="J118" s="1" t="s">
        <v>121</v>
      </c>
      <c r="M118">
        <v>0</v>
      </c>
      <c r="N11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1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18" s="5">
        <v>13998401</v>
      </c>
      <c r="Q118" t="str">
        <f>IF(OR(digital_banking_transactions3[[#This Row],[Nominal_Bersih]]&lt;0,digital_banking_transactions3[[#This Row],[Nominal_Bersih]]=0),"Invalid","Valid")</f>
        <v>Valid</v>
      </c>
      <c r="R11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45582</v>
      </c>
      <c r="S118" s="1" t="str">
        <f>TEXT(digital_banking_transactions3[[#This Row],[Tanggal_Bersih]],"MMMM YYYY")</f>
        <v>October 2024</v>
      </c>
      <c r="T11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1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119" spans="1:21" x14ac:dyDescent="0.35">
      <c r="A119" s="1" t="s">
        <v>543</v>
      </c>
      <c r="B119" s="1" t="s">
        <v>544</v>
      </c>
      <c r="C119" s="1" t="s">
        <v>545</v>
      </c>
      <c r="D119" s="1" t="s">
        <v>546</v>
      </c>
      <c r="E119" s="1" t="s">
        <v>52</v>
      </c>
      <c r="F119" s="1" t="s">
        <v>547</v>
      </c>
      <c r="G119" s="1" t="s">
        <v>41</v>
      </c>
      <c r="H119" s="1" t="s">
        <v>77</v>
      </c>
      <c r="I119" s="1" t="s">
        <v>291</v>
      </c>
      <c r="J119" s="1" t="s">
        <v>79</v>
      </c>
      <c r="K119">
        <v>6500</v>
      </c>
      <c r="L119">
        <v>4966</v>
      </c>
      <c r="M119">
        <v>0</v>
      </c>
      <c r="N11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1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19" s="5" t="s">
        <v>547</v>
      </c>
      <c r="Q119" t="str">
        <f>IF(OR(digital_banking_transactions3[[#This Row],[Nominal_Bersih]]&lt;0,digital_banking_transactions3[[#This Row],[Nominal_Bersih]]=0),"Invalid","Valid")</f>
        <v>Valid</v>
      </c>
      <c r="R11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45567</v>
      </c>
      <c r="S119" s="1" t="str">
        <f>TEXT(digital_banking_transactions3[[#This Row],[Tanggal_Bersih]],"MMMM YYYY")</f>
        <v>October 2024</v>
      </c>
      <c r="T11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1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20" spans="1:21" x14ac:dyDescent="0.35">
      <c r="A120" s="1" t="s">
        <v>548</v>
      </c>
      <c r="B120" s="1" t="s">
        <v>549</v>
      </c>
      <c r="C120" s="1" t="s">
        <v>550</v>
      </c>
      <c r="D120" s="1" t="s">
        <v>25</v>
      </c>
      <c r="E120" s="1" t="s">
        <v>17</v>
      </c>
      <c r="F120" s="1">
        <v>40103301</v>
      </c>
      <c r="G120" s="1" t="s">
        <v>65</v>
      </c>
      <c r="H120" s="1" t="s">
        <v>20</v>
      </c>
      <c r="I120" s="1" t="s">
        <v>21</v>
      </c>
      <c r="J120" s="1" t="s">
        <v>71</v>
      </c>
      <c r="K120">
        <v>2500</v>
      </c>
      <c r="L120">
        <v>1197</v>
      </c>
      <c r="M120">
        <v>0</v>
      </c>
      <c r="N12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2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20" s="5">
        <v>40103301</v>
      </c>
      <c r="Q120" t="str">
        <f>IF(OR(digital_banking_transactions3[[#This Row],[Nominal_Bersih]]&lt;0,digital_banking_transactions3[[#This Row],[Nominal_Bersih]]=0),"Invalid","Valid")</f>
        <v>Valid</v>
      </c>
      <c r="R12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45641</v>
      </c>
      <c r="S120" s="1" t="str">
        <f>TEXT(digital_banking_transactions3[[#This Row],[Tanggal_Bersih]],"MMMM YYYY")</f>
        <v>December 2024</v>
      </c>
      <c r="T12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2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21" spans="1:21" x14ac:dyDescent="0.35">
      <c r="A121" s="1" t="s">
        <v>552</v>
      </c>
      <c r="B121" s="1" t="s">
        <v>553</v>
      </c>
      <c r="C121" s="1" t="s">
        <v>554</v>
      </c>
      <c r="D121" s="1" t="s">
        <v>546</v>
      </c>
      <c r="E121" s="1" t="s">
        <v>52</v>
      </c>
      <c r="F121" s="1" t="s">
        <v>555</v>
      </c>
      <c r="G121" s="1" t="s">
        <v>65</v>
      </c>
      <c r="H121" s="1" t="s">
        <v>77</v>
      </c>
      <c r="I121" s="1" t="s">
        <v>291</v>
      </c>
      <c r="J121" s="1" t="s">
        <v>121</v>
      </c>
      <c r="K121">
        <v>6500</v>
      </c>
      <c r="L121">
        <v>4372</v>
      </c>
      <c r="M121">
        <v>1</v>
      </c>
      <c r="N12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2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21" s="5" t="s">
        <v>555</v>
      </c>
      <c r="Q121" t="str">
        <f>IF(OR(digital_banking_transactions3[[#This Row],[Nominal_Bersih]]&lt;0,digital_banking_transactions3[[#This Row],[Nominal_Bersih]]=0),"Invalid","Valid")</f>
        <v>Valid</v>
      </c>
      <c r="R12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45473</v>
      </c>
      <c r="S121" s="1" t="str">
        <f>TEXT(digital_banking_transactions3[[#This Row],[Tanggal_Bersih]],"MMMM YYYY")</f>
        <v>June 2024</v>
      </c>
      <c r="T12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2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22" spans="1:21" x14ac:dyDescent="0.35">
      <c r="A122" s="1" t="s">
        <v>556</v>
      </c>
      <c r="B122" s="1" t="s">
        <v>557</v>
      </c>
      <c r="C122" s="1" t="s">
        <v>558</v>
      </c>
      <c r="D122" s="1" t="s">
        <v>135</v>
      </c>
      <c r="E122" s="1" t="s">
        <v>17</v>
      </c>
      <c r="F122" s="4">
        <v>24004867</v>
      </c>
      <c r="G122" s="1" t="s">
        <v>485</v>
      </c>
      <c r="H122" s="1" t="s">
        <v>20</v>
      </c>
      <c r="I122" s="1" t="s">
        <v>21</v>
      </c>
      <c r="J122" s="1" t="s">
        <v>121</v>
      </c>
      <c r="K122">
        <v>2500</v>
      </c>
      <c r="L122">
        <v>3461</v>
      </c>
      <c r="M122">
        <v>0</v>
      </c>
      <c r="N12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2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22" s="5">
        <v>24004867</v>
      </c>
      <c r="Q122" t="str">
        <f>IF(OR(digital_banking_transactions3[[#This Row],[Nominal_Bersih]]&lt;0,digital_banking_transactions3[[#This Row],[Nominal_Bersih]]=0),"Invalid","Valid")</f>
        <v>Valid</v>
      </c>
      <c r="R12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45484</v>
      </c>
      <c r="S122" s="1" t="str">
        <f>TEXT(digital_banking_transactions3[[#This Row],[Tanggal_Bersih]],"MMMM YYYY")</f>
        <v>July 2024</v>
      </c>
      <c r="T12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2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23" spans="1:21" x14ac:dyDescent="0.35">
      <c r="A123" s="1" t="s">
        <v>560</v>
      </c>
      <c r="B123" s="1" t="s">
        <v>561</v>
      </c>
      <c r="C123" s="1" t="s">
        <v>562</v>
      </c>
      <c r="D123" s="1" t="s">
        <v>31</v>
      </c>
      <c r="E123" s="1" t="s">
        <v>17</v>
      </c>
      <c r="F123" s="1" t="s">
        <v>563</v>
      </c>
      <c r="G123" s="1" t="s">
        <v>65</v>
      </c>
      <c r="H123" s="1" t="s">
        <v>54</v>
      </c>
      <c r="I123" s="1" t="s">
        <v>21</v>
      </c>
      <c r="J123" s="1" t="s">
        <v>21</v>
      </c>
      <c r="K123">
        <v>2500</v>
      </c>
      <c r="L123">
        <v>76404</v>
      </c>
      <c r="M123">
        <v>0</v>
      </c>
      <c r="N12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2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23" s="5" t="s">
        <v>563</v>
      </c>
      <c r="Q123" t="str">
        <f>IF(OR(digital_banking_transactions3[[#This Row],[Nominal_Bersih]]&lt;0,digital_banking_transactions3[[#This Row],[Nominal_Bersih]]=0),"Invalid","Valid")</f>
        <v>Valid</v>
      </c>
      <c r="R12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45627</v>
      </c>
      <c r="S123" s="1" t="str">
        <f>TEXT(digital_banking_transactions3[[#This Row],[Tanggal_Bersih]],"MMMM YYYY")</f>
        <v>December 2024</v>
      </c>
      <c r="T12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2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124" spans="1:21" x14ac:dyDescent="0.35">
      <c r="A124" s="1" t="s">
        <v>564</v>
      </c>
      <c r="B124" s="1" t="s">
        <v>565</v>
      </c>
      <c r="C124" s="1" t="s">
        <v>566</v>
      </c>
      <c r="D124" s="1" t="s">
        <v>58</v>
      </c>
      <c r="E124" s="1" t="s">
        <v>32</v>
      </c>
      <c r="F124" s="1" t="s">
        <v>567</v>
      </c>
      <c r="G124" s="1" t="s">
        <v>264</v>
      </c>
      <c r="H124" s="1" t="s">
        <v>60</v>
      </c>
      <c r="I124" s="1" t="s">
        <v>21</v>
      </c>
      <c r="J124" s="1" t="s">
        <v>21</v>
      </c>
      <c r="L124">
        <v>3385</v>
      </c>
      <c r="M124">
        <v>1</v>
      </c>
      <c r="N12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2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24" s="5" t="s">
        <v>567</v>
      </c>
      <c r="Q124" t="str">
        <f>IF(OR(digital_banking_transactions3[[#This Row],[Nominal_Bersih]]&lt;0,digital_banking_transactions3[[#This Row],[Nominal_Bersih]]=0),"Invalid","Valid")</f>
        <v>Valid</v>
      </c>
      <c r="R12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45558</v>
      </c>
      <c r="S124" s="1" t="str">
        <f>TEXT(digital_banking_transactions3[[#This Row],[Tanggal_Bersih]],"MMMM YYYY")</f>
        <v>September 2024</v>
      </c>
      <c r="T12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2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25" spans="1:21" x14ac:dyDescent="0.35">
      <c r="A125" s="1" t="s">
        <v>568</v>
      </c>
      <c r="B125" s="1" t="s">
        <v>569</v>
      </c>
      <c r="C125" s="1" t="s">
        <v>570</v>
      </c>
      <c r="D125" s="1" t="s">
        <v>75</v>
      </c>
      <c r="E125" s="1" t="s">
        <v>52</v>
      </c>
      <c r="F125" s="1" t="s">
        <v>571</v>
      </c>
      <c r="G125" s="1" t="s">
        <v>126</v>
      </c>
      <c r="H125" s="1" t="s">
        <v>54</v>
      </c>
      <c r="I125" s="1" t="s">
        <v>505</v>
      </c>
      <c r="J125" s="1" t="s">
        <v>71</v>
      </c>
      <c r="K125">
        <v>6500</v>
      </c>
      <c r="L125">
        <v>2938</v>
      </c>
      <c r="M125">
        <v>0</v>
      </c>
      <c r="N12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2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25" s="5" t="s">
        <v>571</v>
      </c>
      <c r="Q125" t="str">
        <f>IF(OR(digital_banking_transactions3[[#This Row],[Nominal_Bersih]]&lt;0,digital_banking_transactions3[[#This Row],[Nominal_Bersih]]=0),"Invalid","Valid")</f>
        <v>Valid</v>
      </c>
      <c r="R12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45557</v>
      </c>
      <c r="S125" s="1" t="str">
        <f>TEXT(digital_banking_transactions3[[#This Row],[Tanggal_Bersih]],"MMMM YYYY")</f>
        <v>September 2024</v>
      </c>
      <c r="T12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2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26" spans="1:21" x14ac:dyDescent="0.35">
      <c r="A126" s="1" t="s">
        <v>572</v>
      </c>
      <c r="B126" s="1" t="s">
        <v>573</v>
      </c>
      <c r="C126" s="1" t="s">
        <v>574</v>
      </c>
      <c r="D126" s="1" t="s">
        <v>75</v>
      </c>
      <c r="E126" s="1" t="s">
        <v>17</v>
      </c>
      <c r="F126" s="1">
        <v>13096188</v>
      </c>
      <c r="G126" s="1" t="s">
        <v>126</v>
      </c>
      <c r="H126" s="1" t="s">
        <v>35</v>
      </c>
      <c r="I126" s="1" t="s">
        <v>21</v>
      </c>
      <c r="J126" s="1" t="s">
        <v>71</v>
      </c>
      <c r="K126">
        <v>2500</v>
      </c>
      <c r="L126">
        <v>2132</v>
      </c>
      <c r="M126">
        <v>0</v>
      </c>
      <c r="N12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2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26" s="5">
        <v>13096188</v>
      </c>
      <c r="Q126" t="str">
        <f>IF(OR(digital_banking_transactions3[[#This Row],[Nominal_Bersih]]&lt;0,digital_banking_transactions3[[#This Row],[Nominal_Bersih]]=0),"Invalid","Valid")</f>
        <v>Valid</v>
      </c>
      <c r="R12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45635</v>
      </c>
      <c r="S126" s="1" t="str">
        <f>TEXT(digital_banking_transactions3[[#This Row],[Tanggal_Bersih]],"MMMM YYYY")</f>
        <v>December 2024</v>
      </c>
      <c r="T12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2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27" spans="1:21" x14ac:dyDescent="0.35">
      <c r="A127" s="1" t="s">
        <v>576</v>
      </c>
      <c r="B127" s="1" t="s">
        <v>577</v>
      </c>
      <c r="C127" s="1" t="s">
        <v>578</v>
      </c>
      <c r="D127" s="1" t="s">
        <v>58</v>
      </c>
      <c r="E127" s="1" t="s">
        <v>32</v>
      </c>
      <c r="F127" s="1" t="s">
        <v>579</v>
      </c>
      <c r="G127" s="1" t="s">
        <v>48</v>
      </c>
      <c r="H127" s="1" t="s">
        <v>35</v>
      </c>
      <c r="I127" s="1" t="s">
        <v>21</v>
      </c>
      <c r="J127" s="1" t="s">
        <v>21</v>
      </c>
      <c r="K127">
        <v>0</v>
      </c>
      <c r="L127">
        <v>907</v>
      </c>
      <c r="M127">
        <v>0</v>
      </c>
      <c r="N12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2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27" s="5" t="s">
        <v>579</v>
      </c>
      <c r="Q127" t="str">
        <f>IF(OR(digital_banking_transactions3[[#This Row],[Nominal_Bersih]]&lt;0,digital_banking_transactions3[[#This Row],[Nominal_Bersih]]=0),"Invalid","Valid")</f>
        <v>Valid</v>
      </c>
      <c r="R12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45350</v>
      </c>
      <c r="S127" s="1" t="str">
        <f>TEXT(digital_banking_transactions3[[#This Row],[Tanggal_Bersih]],"MMMM YYYY")</f>
        <v>February 2024</v>
      </c>
      <c r="T12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2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28" spans="1:21" x14ac:dyDescent="0.35">
      <c r="A128" s="1" t="s">
        <v>580</v>
      </c>
      <c r="B128" s="1" t="s">
        <v>581</v>
      </c>
      <c r="C128" s="1" t="s">
        <v>582</v>
      </c>
      <c r="D128" s="1" t="s">
        <v>546</v>
      </c>
      <c r="E128" s="1" t="s">
        <v>94</v>
      </c>
      <c r="F128" s="1">
        <v>53913900</v>
      </c>
      <c r="G128" s="1" t="s">
        <v>137</v>
      </c>
      <c r="H128" s="1" t="s">
        <v>54</v>
      </c>
      <c r="I128" s="1" t="s">
        <v>21</v>
      </c>
      <c r="J128" s="1" t="s">
        <v>71</v>
      </c>
      <c r="K128">
        <v>1500</v>
      </c>
      <c r="L128">
        <v>991</v>
      </c>
      <c r="M128">
        <v>0</v>
      </c>
      <c r="N12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2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28" s="5">
        <v>53913900</v>
      </c>
      <c r="Q128" t="str">
        <f>IF(OR(digital_banking_transactions3[[#This Row],[Nominal_Bersih]]&lt;0,digital_banking_transactions3[[#This Row],[Nominal_Bersih]]=0),"Invalid","Valid")</f>
        <v>Valid</v>
      </c>
      <c r="R12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45631</v>
      </c>
      <c r="S128" s="1" t="str">
        <f>TEXT(digital_banking_transactions3[[#This Row],[Tanggal_Bersih]],"MMMM YYYY")</f>
        <v>December 2024</v>
      </c>
      <c r="T12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2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29" spans="1:21" x14ac:dyDescent="0.35">
      <c r="A129" s="1" t="s">
        <v>584</v>
      </c>
      <c r="B129" s="1" t="s">
        <v>585</v>
      </c>
      <c r="C129" s="1" t="s">
        <v>586</v>
      </c>
      <c r="D129" s="1" t="s">
        <v>135</v>
      </c>
      <c r="E129" s="1" t="s">
        <v>32</v>
      </c>
      <c r="F129" s="1" t="s">
        <v>587</v>
      </c>
      <c r="G129" s="1" t="s">
        <v>126</v>
      </c>
      <c r="H129" s="1" t="s">
        <v>96</v>
      </c>
      <c r="I129" s="1" t="s">
        <v>21</v>
      </c>
      <c r="J129" s="1" t="s">
        <v>79</v>
      </c>
      <c r="K129">
        <v>0</v>
      </c>
      <c r="L129">
        <v>4124</v>
      </c>
      <c r="M129">
        <v>0</v>
      </c>
      <c r="N12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2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29" s="5" t="s">
        <v>587</v>
      </c>
      <c r="Q129" t="str">
        <f>IF(OR(digital_banking_transactions3[[#This Row],[Nominal_Bersih]]&lt;0,digital_banking_transactions3[[#This Row],[Nominal_Bersih]]=0),"Invalid","Valid")</f>
        <v>Valid</v>
      </c>
      <c r="R12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45439</v>
      </c>
      <c r="S129" s="1" t="str">
        <f>TEXT(digital_banking_transactions3[[#This Row],[Tanggal_Bersih]],"MMMM YYYY")</f>
        <v>May 2024</v>
      </c>
      <c r="T12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2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30" spans="1:21" x14ac:dyDescent="0.35">
      <c r="A130" s="1" t="s">
        <v>588</v>
      </c>
      <c r="B130" s="1" t="s">
        <v>589</v>
      </c>
      <c r="C130" s="1" t="s">
        <v>590</v>
      </c>
      <c r="D130" s="1" t="s">
        <v>167</v>
      </c>
      <c r="E130" s="1" t="s">
        <v>32</v>
      </c>
      <c r="F130" s="1">
        <v>42641928</v>
      </c>
      <c r="G130" s="1" t="s">
        <v>41</v>
      </c>
      <c r="H130" s="1" t="s">
        <v>42</v>
      </c>
      <c r="I130" s="1" t="s">
        <v>21</v>
      </c>
      <c r="J130" s="1" t="s">
        <v>21</v>
      </c>
      <c r="K130">
        <v>0</v>
      </c>
      <c r="L130">
        <v>2792</v>
      </c>
      <c r="M130">
        <v>0</v>
      </c>
      <c r="N13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3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30" s="5">
        <v>42641928</v>
      </c>
      <c r="Q130" t="str">
        <f>IF(OR(digital_banking_transactions3[[#This Row],[Nominal_Bersih]]&lt;0,digital_banking_transactions3[[#This Row],[Nominal_Bersih]]=0),"Invalid","Valid")</f>
        <v>Valid</v>
      </c>
      <c r="R13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45566</v>
      </c>
      <c r="S130" s="1" t="str">
        <f>TEXT(digital_banking_transactions3[[#This Row],[Tanggal_Bersih]],"MMMM YYYY")</f>
        <v>October 2024</v>
      </c>
      <c r="T13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3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31" spans="1:21" x14ac:dyDescent="0.35">
      <c r="A131" s="1" t="s">
        <v>592</v>
      </c>
      <c r="B131" s="1" t="s">
        <v>593</v>
      </c>
      <c r="C131" s="1" t="s">
        <v>594</v>
      </c>
      <c r="D131" s="1" t="s">
        <v>58</v>
      </c>
      <c r="E131" s="1" t="s">
        <v>94</v>
      </c>
      <c r="F131" s="4">
        <v>17461</v>
      </c>
      <c r="G131" s="1" t="s">
        <v>65</v>
      </c>
      <c r="H131" s="1" t="s">
        <v>77</v>
      </c>
      <c r="I131" s="1" t="s">
        <v>21</v>
      </c>
      <c r="J131" s="1" t="s">
        <v>21</v>
      </c>
      <c r="K131">
        <v>1500</v>
      </c>
      <c r="M131">
        <v>0</v>
      </c>
      <c r="N13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3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31" s="5">
        <v>17461</v>
      </c>
      <c r="Q131" t="str">
        <f>IF(OR(digital_banking_transactions3[[#This Row],[Nominal_Bersih]]&lt;0,digital_banking_transactions3[[#This Row],[Nominal_Bersih]]=0),"Invalid","Valid")</f>
        <v>Valid</v>
      </c>
      <c r="R13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45485</v>
      </c>
      <c r="S131" s="1" t="str">
        <f>TEXT(digital_banking_transactions3[[#This Row],[Tanggal_Bersih]],"MMMM YYYY")</f>
        <v>July 2024</v>
      </c>
      <c r="T13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3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132" spans="1:21" x14ac:dyDescent="0.35">
      <c r="A132" s="1" t="s">
        <v>596</v>
      </c>
      <c r="B132" s="1" t="s">
        <v>597</v>
      </c>
      <c r="C132" s="1" t="s">
        <v>598</v>
      </c>
      <c r="D132" s="1" t="s">
        <v>58</v>
      </c>
      <c r="E132" s="1" t="s">
        <v>17</v>
      </c>
      <c r="F132" s="1" t="s">
        <v>599</v>
      </c>
      <c r="G132" s="1" t="s">
        <v>264</v>
      </c>
      <c r="H132" s="1" t="s">
        <v>60</v>
      </c>
      <c r="I132" s="1" t="s">
        <v>21</v>
      </c>
      <c r="J132" s="1" t="s">
        <v>21</v>
      </c>
      <c r="K132">
        <v>2500</v>
      </c>
      <c r="L132">
        <v>1311</v>
      </c>
      <c r="M132">
        <v>0</v>
      </c>
      <c r="N13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3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32" s="5" t="s">
        <v>599</v>
      </c>
      <c r="Q132" t="str">
        <f>IF(OR(digital_banking_transactions3[[#This Row],[Nominal_Bersih]]&lt;0,digital_banking_transactions3[[#This Row],[Nominal_Bersih]]=0),"Invalid","Valid")</f>
        <v>Valid</v>
      </c>
      <c r="R13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45464</v>
      </c>
      <c r="S132" s="1" t="str">
        <f>TEXT(digital_banking_transactions3[[#This Row],[Tanggal_Bersih]],"MMMM YYYY")</f>
        <v>June 2024</v>
      </c>
      <c r="T13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3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33" spans="1:21" x14ac:dyDescent="0.35">
      <c r="A133" s="1" t="s">
        <v>600</v>
      </c>
      <c r="B133" s="1" t="s">
        <v>601</v>
      </c>
      <c r="C133" s="1" t="s">
        <v>602</v>
      </c>
      <c r="D133" s="1" t="s">
        <v>58</v>
      </c>
      <c r="E133" s="1" t="s">
        <v>39</v>
      </c>
      <c r="F133" s="1" t="s">
        <v>603</v>
      </c>
      <c r="G133" s="1" t="s">
        <v>264</v>
      </c>
      <c r="H133" s="1" t="s">
        <v>20</v>
      </c>
      <c r="I133" s="1" t="s">
        <v>21</v>
      </c>
      <c r="J133" s="1" t="s">
        <v>21</v>
      </c>
      <c r="K133">
        <v>7500</v>
      </c>
      <c r="L133">
        <v>3364</v>
      </c>
      <c r="M133">
        <v>0</v>
      </c>
      <c r="N13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3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33" s="5" t="s">
        <v>603</v>
      </c>
      <c r="Q133" t="str">
        <f>IF(OR(digital_banking_transactions3[[#This Row],[Nominal_Bersih]]&lt;0,digital_banking_transactions3[[#This Row],[Nominal_Bersih]]=0),"Invalid","Valid")</f>
        <v>Valid</v>
      </c>
      <c r="R13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45590</v>
      </c>
      <c r="S133" s="1" t="str">
        <f>TEXT(digital_banking_transactions3[[#This Row],[Tanggal_Bersih]],"MMMM YYYY")</f>
        <v>October 2024</v>
      </c>
      <c r="T13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3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34" spans="1:21" x14ac:dyDescent="0.35">
      <c r="A134" s="1" t="s">
        <v>604</v>
      </c>
      <c r="B134" s="1" t="s">
        <v>605</v>
      </c>
      <c r="C134" s="1" t="s">
        <v>606</v>
      </c>
      <c r="D134" s="1" t="s">
        <v>25</v>
      </c>
      <c r="E134" s="1" t="s">
        <v>32</v>
      </c>
      <c r="F134" s="1" t="s">
        <v>607</v>
      </c>
      <c r="G134" s="1" t="s">
        <v>126</v>
      </c>
      <c r="H134" s="1" t="s">
        <v>35</v>
      </c>
      <c r="I134" s="1" t="s">
        <v>21</v>
      </c>
      <c r="J134" s="1" t="s">
        <v>121</v>
      </c>
      <c r="L134">
        <v>4719</v>
      </c>
      <c r="M134">
        <v>0</v>
      </c>
      <c r="N13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3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34" s="5" t="s">
        <v>607</v>
      </c>
      <c r="Q134" t="str">
        <f>IF(OR(digital_banking_transactions3[[#This Row],[Nominal_Bersih]]&lt;0,digital_banking_transactions3[[#This Row],[Nominal_Bersih]]=0),"Invalid","Valid")</f>
        <v>Valid</v>
      </c>
      <c r="R13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45380</v>
      </c>
      <c r="S134" s="1" t="str">
        <f>TEXT(digital_banking_transactions3[[#This Row],[Tanggal_Bersih]],"MMMM YYYY")</f>
        <v>March 2024</v>
      </c>
      <c r="T13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3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35" spans="1:21" x14ac:dyDescent="0.35">
      <c r="A135" s="1" t="s">
        <v>608</v>
      </c>
      <c r="B135" s="1" t="s">
        <v>609</v>
      </c>
      <c r="C135" s="1" t="s">
        <v>610</v>
      </c>
      <c r="D135" s="1" t="s">
        <v>58</v>
      </c>
      <c r="E135" s="1" t="s">
        <v>52</v>
      </c>
      <c r="F135" s="4">
        <v>40362743</v>
      </c>
      <c r="G135" s="1" t="s">
        <v>137</v>
      </c>
      <c r="H135" s="1" t="s">
        <v>35</v>
      </c>
      <c r="I135" s="1" t="s">
        <v>291</v>
      </c>
      <c r="J135" s="1" t="s">
        <v>21</v>
      </c>
      <c r="K135">
        <v>6500</v>
      </c>
      <c r="L135">
        <v>3061</v>
      </c>
      <c r="M135">
        <v>0</v>
      </c>
      <c r="N13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3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35" s="5">
        <v>40362743</v>
      </c>
      <c r="Q135" t="str">
        <f>IF(OR(digital_banking_transactions3[[#This Row],[Nominal_Bersih]]&lt;0,digital_banking_transactions3[[#This Row],[Nominal_Bersih]]=0),"Invalid","Valid")</f>
        <v>Valid</v>
      </c>
      <c r="R13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45567</v>
      </c>
      <c r="S135" s="1" t="str">
        <f>TEXT(digital_banking_transactions3[[#This Row],[Tanggal_Bersih]],"MMMM YYYY")</f>
        <v>October 2024</v>
      </c>
      <c r="T13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3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36" spans="1:21" x14ac:dyDescent="0.35">
      <c r="A136" s="1" t="s">
        <v>612</v>
      </c>
      <c r="B136" s="1" t="s">
        <v>613</v>
      </c>
      <c r="C136" s="1" t="s">
        <v>614</v>
      </c>
      <c r="D136" s="1" t="s">
        <v>135</v>
      </c>
      <c r="E136" s="1" t="s">
        <v>32</v>
      </c>
      <c r="F136" s="1" t="s">
        <v>615</v>
      </c>
      <c r="G136" s="1" t="s">
        <v>126</v>
      </c>
      <c r="H136" s="1" t="s">
        <v>77</v>
      </c>
      <c r="I136" s="1" t="s">
        <v>21</v>
      </c>
      <c r="J136" s="1" t="s">
        <v>286</v>
      </c>
      <c r="K136">
        <v>0</v>
      </c>
      <c r="L136">
        <v>2524</v>
      </c>
      <c r="M136">
        <v>1</v>
      </c>
      <c r="N13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3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36" s="5" t="s">
        <v>615</v>
      </c>
      <c r="Q136" t="str">
        <f>IF(OR(digital_banking_transactions3[[#This Row],[Nominal_Bersih]]&lt;0,digital_banking_transactions3[[#This Row],[Nominal_Bersih]]=0),"Invalid","Valid")</f>
        <v>Valid</v>
      </c>
      <c r="R13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45324</v>
      </c>
      <c r="S136" s="1" t="str">
        <f>TEXT(digital_banking_transactions3[[#This Row],[Tanggal_Bersih]],"MMMM YYYY")</f>
        <v>February 2024</v>
      </c>
      <c r="T13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3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37" spans="1:21" x14ac:dyDescent="0.35">
      <c r="A137" s="1" t="s">
        <v>616</v>
      </c>
      <c r="B137" s="1" t="s">
        <v>617</v>
      </c>
      <c r="C137" s="1" t="s">
        <v>618</v>
      </c>
      <c r="D137" s="1" t="s">
        <v>254</v>
      </c>
      <c r="E137" s="1" t="s">
        <v>17</v>
      </c>
      <c r="F137" s="1" t="s">
        <v>619</v>
      </c>
      <c r="G137" s="1" t="s">
        <v>126</v>
      </c>
      <c r="H137" s="1" t="s">
        <v>42</v>
      </c>
      <c r="I137" s="1" t="s">
        <v>21</v>
      </c>
      <c r="J137" s="1" t="s">
        <v>79</v>
      </c>
      <c r="K137">
        <v>2500</v>
      </c>
      <c r="L137">
        <v>794</v>
      </c>
      <c r="M137">
        <v>0</v>
      </c>
      <c r="N13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3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37" s="5" t="s">
        <v>619</v>
      </c>
      <c r="Q137" t="str">
        <f>IF(OR(digital_banking_transactions3[[#This Row],[Nominal_Bersih]]&lt;0,digital_banking_transactions3[[#This Row],[Nominal_Bersih]]=0),"Invalid","Valid")</f>
        <v>Valid</v>
      </c>
      <c r="R13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45321</v>
      </c>
      <c r="S137" s="1" t="str">
        <f>TEXT(digital_banking_transactions3[[#This Row],[Tanggal_Bersih]],"MMMM YYYY")</f>
        <v>January 2024</v>
      </c>
      <c r="T13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3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38" spans="1:21" x14ac:dyDescent="0.35">
      <c r="A138" s="1" t="s">
        <v>620</v>
      </c>
      <c r="B138" s="1" t="s">
        <v>621</v>
      </c>
      <c r="C138" s="1" t="s">
        <v>622</v>
      </c>
      <c r="D138" s="1" t="s">
        <v>58</v>
      </c>
      <c r="E138" s="1" t="s">
        <v>32</v>
      </c>
      <c r="F138" s="4">
        <v>731530</v>
      </c>
      <c r="G138" s="1" t="s">
        <v>65</v>
      </c>
      <c r="H138" s="1" t="s">
        <v>42</v>
      </c>
      <c r="I138" s="1" t="s">
        <v>21</v>
      </c>
      <c r="J138" s="1" t="s">
        <v>21</v>
      </c>
      <c r="K138">
        <v>0</v>
      </c>
      <c r="L138">
        <v>4923</v>
      </c>
      <c r="M138">
        <v>1</v>
      </c>
      <c r="N13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3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38" s="5">
        <v>731530</v>
      </c>
      <c r="Q138" t="str">
        <f>IF(OR(digital_banking_transactions3[[#This Row],[Nominal_Bersih]]&lt;0,digital_banking_transactions3[[#This Row],[Nominal_Bersih]]=0),"Invalid","Valid")</f>
        <v>Valid</v>
      </c>
      <c r="R13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45434</v>
      </c>
      <c r="S138" s="1" t="str">
        <f>TEXT(digital_banking_transactions3[[#This Row],[Tanggal_Bersih]],"MMMM YYYY")</f>
        <v>May 2024</v>
      </c>
      <c r="T13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3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39" spans="1:21" x14ac:dyDescent="0.35">
      <c r="A139" s="1" t="s">
        <v>624</v>
      </c>
      <c r="B139" s="1" t="s">
        <v>625</v>
      </c>
      <c r="C139" s="1" t="s">
        <v>626</v>
      </c>
      <c r="D139" s="1" t="s">
        <v>25</v>
      </c>
      <c r="E139" s="1" t="s">
        <v>39</v>
      </c>
      <c r="F139" s="1" t="s">
        <v>627</v>
      </c>
      <c r="G139" s="1" t="s">
        <v>41</v>
      </c>
      <c r="H139" s="1" t="s">
        <v>60</v>
      </c>
      <c r="I139" s="1" t="s">
        <v>21</v>
      </c>
      <c r="J139" s="1" t="s">
        <v>121</v>
      </c>
      <c r="K139">
        <v>7500</v>
      </c>
      <c r="M139">
        <v>0</v>
      </c>
      <c r="N13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3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39" s="5" t="s">
        <v>627</v>
      </c>
      <c r="Q139" t="str">
        <f>IF(OR(digital_banking_transactions3[[#This Row],[Nominal_Bersih]]&lt;0,digital_banking_transactions3[[#This Row],[Nominal_Bersih]]=0),"Invalid","Valid")</f>
        <v>Valid</v>
      </c>
      <c r="R13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45630</v>
      </c>
      <c r="S139" s="1" t="str">
        <f>TEXT(digital_banking_transactions3[[#This Row],[Tanggal_Bersih]],"MMMM YYYY")</f>
        <v>December 2024</v>
      </c>
      <c r="T13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3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140" spans="1:21" x14ac:dyDescent="0.35">
      <c r="A140" s="1" t="s">
        <v>628</v>
      </c>
      <c r="B140" s="1" t="s">
        <v>629</v>
      </c>
      <c r="C140" s="1" t="s">
        <v>630</v>
      </c>
      <c r="D140" s="1" t="s">
        <v>75</v>
      </c>
      <c r="E140" s="1" t="s">
        <v>39</v>
      </c>
      <c r="F140" s="1" t="s">
        <v>631</v>
      </c>
      <c r="G140" s="1" t="s">
        <v>65</v>
      </c>
      <c r="H140" s="1" t="s">
        <v>96</v>
      </c>
      <c r="I140" s="1" t="s">
        <v>21</v>
      </c>
      <c r="J140" s="1" t="s">
        <v>21</v>
      </c>
      <c r="L140">
        <v>2320</v>
      </c>
      <c r="M140">
        <v>0</v>
      </c>
      <c r="N14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4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40" s="5" t="s">
        <v>631</v>
      </c>
      <c r="Q140" t="str">
        <f>IF(OR(digital_banking_transactions3[[#This Row],[Nominal_Bersih]]&lt;0,digital_banking_transactions3[[#This Row],[Nominal_Bersih]]=0),"Invalid","Valid")</f>
        <v>Valid</v>
      </c>
      <c r="R14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45642</v>
      </c>
      <c r="S140" s="1" t="str">
        <f>TEXT(digital_banking_transactions3[[#This Row],[Tanggal_Bersih]],"MMMM YYYY")</f>
        <v>December 2024</v>
      </c>
      <c r="T14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4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41" spans="1:21" x14ac:dyDescent="0.35">
      <c r="A141" s="1" t="s">
        <v>633</v>
      </c>
      <c r="B141" s="1" t="s">
        <v>634</v>
      </c>
      <c r="C141" s="1" t="s">
        <v>635</v>
      </c>
      <c r="D141" s="1" t="s">
        <v>58</v>
      </c>
      <c r="E141" s="1" t="s">
        <v>17</v>
      </c>
      <c r="F141" s="1" t="s">
        <v>636</v>
      </c>
      <c r="G141" s="1" t="s">
        <v>126</v>
      </c>
      <c r="H141" s="1" t="s">
        <v>20</v>
      </c>
      <c r="I141" s="1" t="s">
        <v>21</v>
      </c>
      <c r="J141" s="1" t="s">
        <v>21</v>
      </c>
      <c r="K141">
        <v>2500</v>
      </c>
      <c r="L141">
        <v>2938</v>
      </c>
      <c r="M141">
        <v>0</v>
      </c>
      <c r="N14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4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41" s="5" t="s">
        <v>636</v>
      </c>
      <c r="Q141" t="str">
        <f>IF(OR(digital_banking_transactions3[[#This Row],[Nominal_Bersih]]&lt;0,digital_banking_transactions3[[#This Row],[Nominal_Bersih]]=0),"Invalid","Valid")</f>
        <v>Valid</v>
      </c>
      <c r="R14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45608</v>
      </c>
      <c r="S141" s="1" t="str">
        <f>TEXT(digital_banking_transactions3[[#This Row],[Tanggal_Bersih]],"MMMM YYYY")</f>
        <v>November 2024</v>
      </c>
      <c r="T14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4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42" spans="1:21" x14ac:dyDescent="0.35">
      <c r="A142" s="1" t="s">
        <v>637</v>
      </c>
      <c r="B142" s="1" t="s">
        <v>638</v>
      </c>
      <c r="C142" s="1" t="s">
        <v>639</v>
      </c>
      <c r="D142" s="1" t="s">
        <v>16</v>
      </c>
      <c r="E142" s="1" t="s">
        <v>32</v>
      </c>
      <c r="F142" s="1">
        <v>17751634</v>
      </c>
      <c r="G142" s="1" t="s">
        <v>19</v>
      </c>
      <c r="H142" s="1" t="s">
        <v>35</v>
      </c>
      <c r="I142" s="1" t="s">
        <v>21</v>
      </c>
      <c r="J142" s="1" t="s">
        <v>21</v>
      </c>
      <c r="K142">
        <v>0</v>
      </c>
      <c r="L142">
        <v>618</v>
      </c>
      <c r="M142">
        <v>0</v>
      </c>
      <c r="N14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4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42" s="5">
        <v>17751634</v>
      </c>
      <c r="Q142" t="str">
        <f>IF(OR(digital_banking_transactions3[[#This Row],[Nominal_Bersih]]&lt;0,digital_banking_transactions3[[#This Row],[Nominal_Bersih]]=0),"Invalid","Valid")</f>
        <v>Valid</v>
      </c>
      <c r="R14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45645</v>
      </c>
      <c r="S142" s="1" t="str">
        <f>TEXT(digital_banking_transactions3[[#This Row],[Tanggal_Bersih]],"MMMM YYYY")</f>
        <v>December 2024</v>
      </c>
      <c r="T14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4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43" spans="1:21" x14ac:dyDescent="0.35">
      <c r="A143" s="1" t="s">
        <v>641</v>
      </c>
      <c r="B143" s="1" t="s">
        <v>642</v>
      </c>
      <c r="C143" s="1" t="s">
        <v>643</v>
      </c>
      <c r="D143" s="1" t="s">
        <v>46</v>
      </c>
      <c r="E143" s="1" t="s">
        <v>94</v>
      </c>
      <c r="F143" s="4">
        <v>44079088</v>
      </c>
      <c r="G143" s="1" t="s">
        <v>485</v>
      </c>
      <c r="H143" s="1" t="s">
        <v>77</v>
      </c>
      <c r="I143" s="1" t="s">
        <v>21</v>
      </c>
      <c r="J143" s="1" t="s">
        <v>21</v>
      </c>
      <c r="K143">
        <v>1500</v>
      </c>
      <c r="L143">
        <v>1203</v>
      </c>
      <c r="M143">
        <v>0</v>
      </c>
      <c r="N14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4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43" s="5">
        <v>44079088</v>
      </c>
      <c r="Q143" t="str">
        <f>IF(OR(digital_banking_transactions3[[#This Row],[Nominal_Bersih]]&lt;0,digital_banking_transactions3[[#This Row],[Nominal_Bersih]]=0),"Invalid","Valid")</f>
        <v>Valid</v>
      </c>
      <c r="R14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45298</v>
      </c>
      <c r="S143" s="1" t="str">
        <f>TEXT(digital_banking_transactions3[[#This Row],[Tanggal_Bersih]],"MMMM YYYY")</f>
        <v>January 2024</v>
      </c>
      <c r="T14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4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44" spans="1:21" x14ac:dyDescent="0.35">
      <c r="A144" s="1" t="s">
        <v>645</v>
      </c>
      <c r="B144" s="1" t="s">
        <v>646</v>
      </c>
      <c r="C144" s="1" t="s">
        <v>647</v>
      </c>
      <c r="D144" s="1" t="s">
        <v>16</v>
      </c>
      <c r="E144" s="1" t="s">
        <v>94</v>
      </c>
      <c r="F144" s="1" t="s">
        <v>648</v>
      </c>
      <c r="G144" s="1" t="s">
        <v>65</v>
      </c>
      <c r="H144" s="1" t="s">
        <v>42</v>
      </c>
      <c r="I144" s="1" t="s">
        <v>21</v>
      </c>
      <c r="J144" s="1" t="s">
        <v>21</v>
      </c>
      <c r="K144">
        <v>1500</v>
      </c>
      <c r="L144">
        <v>2115</v>
      </c>
      <c r="M144">
        <v>0</v>
      </c>
      <c r="N14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4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44" s="5" t="s">
        <v>648</v>
      </c>
      <c r="Q144" t="str">
        <f>IF(OR(digital_banking_transactions3[[#This Row],[Nominal_Bersih]]&lt;0,digital_banking_transactions3[[#This Row],[Nominal_Bersih]]=0),"Invalid","Valid")</f>
        <v>Valid</v>
      </c>
      <c r="R14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45483</v>
      </c>
      <c r="S144" s="1" t="str">
        <f>TEXT(digital_banking_transactions3[[#This Row],[Tanggal_Bersih]],"MMMM YYYY")</f>
        <v>July 2024</v>
      </c>
      <c r="T14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4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45" spans="1:21" x14ac:dyDescent="0.35">
      <c r="A145" s="1" t="s">
        <v>649</v>
      </c>
      <c r="B145" s="1" t="s">
        <v>650</v>
      </c>
      <c r="C145" s="1" t="s">
        <v>651</v>
      </c>
      <c r="D145" s="1" t="s">
        <v>75</v>
      </c>
      <c r="E145" s="1" t="s">
        <v>17</v>
      </c>
      <c r="F145" s="1" t="s">
        <v>652</v>
      </c>
      <c r="G145" s="1" t="s">
        <v>381</v>
      </c>
      <c r="H145" s="1" t="s">
        <v>35</v>
      </c>
      <c r="I145" s="1" t="s">
        <v>21</v>
      </c>
      <c r="J145" s="1" t="s">
        <v>121</v>
      </c>
      <c r="K145">
        <v>2500</v>
      </c>
      <c r="L145">
        <v>4548</v>
      </c>
      <c r="M145">
        <v>0</v>
      </c>
      <c r="N14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4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45" s="5" t="s">
        <v>652</v>
      </c>
      <c r="Q145" t="str">
        <f>IF(OR(digital_banking_transactions3[[#This Row],[Nominal_Bersih]]&lt;0,digital_banking_transactions3[[#This Row],[Nominal_Bersih]]=0),"Invalid","Valid")</f>
        <v>Valid</v>
      </c>
      <c r="R14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45363</v>
      </c>
      <c r="S145" s="1" t="str">
        <f>TEXT(digital_banking_transactions3[[#This Row],[Tanggal_Bersih]],"MMMM YYYY")</f>
        <v>March 2024</v>
      </c>
      <c r="T14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4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46" spans="1:21" x14ac:dyDescent="0.35">
      <c r="A146" s="1" t="s">
        <v>653</v>
      </c>
      <c r="B146" s="1" t="s">
        <v>654</v>
      </c>
      <c r="C146" s="1" t="s">
        <v>655</v>
      </c>
      <c r="D146" s="1" t="s">
        <v>46</v>
      </c>
      <c r="E146" s="1" t="s">
        <v>32</v>
      </c>
      <c r="F146" s="1" t="s">
        <v>656</v>
      </c>
      <c r="G146" s="1" t="s">
        <v>381</v>
      </c>
      <c r="H146" s="1" t="s">
        <v>106</v>
      </c>
      <c r="I146" s="1" t="s">
        <v>21</v>
      </c>
      <c r="J146" s="1" t="s">
        <v>21</v>
      </c>
      <c r="K146">
        <v>0</v>
      </c>
      <c r="L146">
        <v>545</v>
      </c>
      <c r="M146">
        <v>0</v>
      </c>
      <c r="N14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4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46" s="5" t="s">
        <v>656</v>
      </c>
      <c r="Q146" t="str">
        <f>IF(OR(digital_banking_transactions3[[#This Row],[Nominal_Bersih]]&lt;0,digital_banking_transactions3[[#This Row],[Nominal_Bersih]]=0),"Invalid","Valid")</f>
        <v>Valid</v>
      </c>
      <c r="R14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45592</v>
      </c>
      <c r="S146" s="1" t="str">
        <f>TEXT(digital_banking_transactions3[[#This Row],[Tanggal_Bersih]],"MMMM YYYY")</f>
        <v>October 2024</v>
      </c>
      <c r="T14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4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47" spans="1:21" x14ac:dyDescent="0.35">
      <c r="A147" s="1" t="s">
        <v>657</v>
      </c>
      <c r="B147" s="1" t="s">
        <v>658</v>
      </c>
      <c r="C147" s="1" t="s">
        <v>659</v>
      </c>
      <c r="D147" s="1" t="s">
        <v>58</v>
      </c>
      <c r="E147" s="1" t="s">
        <v>32</v>
      </c>
      <c r="F147" s="1">
        <v>21873169</v>
      </c>
      <c r="G147" s="1" t="s">
        <v>126</v>
      </c>
      <c r="H147" s="1" t="s">
        <v>60</v>
      </c>
      <c r="I147" s="1" t="s">
        <v>21</v>
      </c>
      <c r="J147" s="1" t="s">
        <v>21</v>
      </c>
      <c r="K147">
        <v>0</v>
      </c>
      <c r="L147">
        <v>3578</v>
      </c>
      <c r="M147">
        <v>0</v>
      </c>
      <c r="N14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4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47" s="5">
        <v>21873169</v>
      </c>
      <c r="Q147" t="str">
        <f>IF(OR(digital_banking_transactions3[[#This Row],[Nominal_Bersih]]&lt;0,digital_banking_transactions3[[#This Row],[Nominal_Bersih]]=0),"Invalid","Valid")</f>
        <v>Valid</v>
      </c>
      <c r="R14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45494</v>
      </c>
      <c r="S147" s="1" t="str">
        <f>TEXT(digital_banking_transactions3[[#This Row],[Tanggal_Bersih]],"MMMM YYYY")</f>
        <v>July 2024</v>
      </c>
      <c r="T14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4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48" spans="1:21" x14ac:dyDescent="0.35">
      <c r="A148" s="1" t="s">
        <v>661</v>
      </c>
      <c r="B148" s="1" t="s">
        <v>662</v>
      </c>
      <c r="C148" s="1" t="s">
        <v>663</v>
      </c>
      <c r="D148" s="1" t="s">
        <v>75</v>
      </c>
      <c r="E148" s="1" t="s">
        <v>94</v>
      </c>
      <c r="F148" s="1" t="s">
        <v>664</v>
      </c>
      <c r="G148" s="1" t="s">
        <v>126</v>
      </c>
      <c r="H148" s="1" t="s">
        <v>42</v>
      </c>
      <c r="I148" s="1" t="s">
        <v>21</v>
      </c>
      <c r="J148" s="1" t="s">
        <v>21</v>
      </c>
      <c r="K148">
        <v>1500</v>
      </c>
      <c r="L148">
        <v>4635</v>
      </c>
      <c r="M148">
        <v>0</v>
      </c>
      <c r="N14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4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48" s="5" t="s">
        <v>664</v>
      </c>
      <c r="Q148" t="str">
        <f>IF(OR(digital_banking_transactions3[[#This Row],[Nominal_Bersih]]&lt;0,digital_banking_transactions3[[#This Row],[Nominal_Bersih]]=0),"Invalid","Valid")</f>
        <v>Valid</v>
      </c>
      <c r="R14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45543</v>
      </c>
      <c r="S148" s="1" t="str">
        <f>TEXT(digital_banking_transactions3[[#This Row],[Tanggal_Bersih]],"MMMM YYYY")</f>
        <v>September 2024</v>
      </c>
      <c r="T14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4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49" spans="1:21" x14ac:dyDescent="0.35">
      <c r="A149" s="1" t="s">
        <v>665</v>
      </c>
      <c r="B149" s="1" t="s">
        <v>666</v>
      </c>
      <c r="C149" s="1" t="s">
        <v>667</v>
      </c>
      <c r="D149" s="1" t="s">
        <v>58</v>
      </c>
      <c r="E149" s="1" t="s">
        <v>32</v>
      </c>
      <c r="F149" s="1" t="s">
        <v>668</v>
      </c>
      <c r="G149" s="1" t="s">
        <v>126</v>
      </c>
      <c r="H149" s="1" t="s">
        <v>77</v>
      </c>
      <c r="I149" s="1" t="s">
        <v>21</v>
      </c>
      <c r="J149" s="1" t="s">
        <v>21</v>
      </c>
      <c r="K149">
        <v>0</v>
      </c>
      <c r="L149">
        <v>2692</v>
      </c>
      <c r="M149">
        <v>0</v>
      </c>
      <c r="N14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4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49" s="5" t="s">
        <v>668</v>
      </c>
      <c r="Q149" t="str">
        <f>IF(OR(digital_banking_transactions3[[#This Row],[Nominal_Bersih]]&lt;0,digital_banking_transactions3[[#This Row],[Nominal_Bersih]]=0),"Invalid","Valid")</f>
        <v>Valid</v>
      </c>
      <c r="R14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45523</v>
      </c>
      <c r="S149" s="1" t="str">
        <f>TEXT(digital_banking_transactions3[[#This Row],[Tanggal_Bersih]],"MMMM YYYY")</f>
        <v>August 2024</v>
      </c>
      <c r="T14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4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50" spans="1:21" x14ac:dyDescent="0.35">
      <c r="A150" s="1" t="s">
        <v>669</v>
      </c>
      <c r="B150" s="1" t="s">
        <v>670</v>
      </c>
      <c r="C150" s="1" t="s">
        <v>671</v>
      </c>
      <c r="D150" s="1" t="s">
        <v>16</v>
      </c>
      <c r="E150" s="1" t="s">
        <v>94</v>
      </c>
      <c r="F150" s="1" t="s">
        <v>672</v>
      </c>
      <c r="G150" s="1" t="s">
        <v>34</v>
      </c>
      <c r="H150" s="1" t="s">
        <v>35</v>
      </c>
      <c r="I150" s="1" t="s">
        <v>21</v>
      </c>
      <c r="J150" s="1" t="s">
        <v>21</v>
      </c>
      <c r="K150">
        <v>1500</v>
      </c>
      <c r="L150">
        <v>2872</v>
      </c>
      <c r="M150">
        <v>0</v>
      </c>
      <c r="N15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5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50" s="5" t="s">
        <v>672</v>
      </c>
      <c r="Q150" t="str">
        <f>IF(OR(digital_banking_transactions3[[#This Row],[Nominal_Bersih]]&lt;0,digital_banking_transactions3[[#This Row],[Nominal_Bersih]]=0),"Invalid","Valid")</f>
        <v>Valid</v>
      </c>
      <c r="R15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45314</v>
      </c>
      <c r="S150" s="1" t="str">
        <f>TEXT(digital_banking_transactions3[[#This Row],[Tanggal_Bersih]],"MMMM YYYY")</f>
        <v>January 2024</v>
      </c>
      <c r="T15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5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51" spans="1:21" x14ac:dyDescent="0.35">
      <c r="A151" s="1" t="s">
        <v>673</v>
      </c>
      <c r="B151" s="1" t="s">
        <v>674</v>
      </c>
      <c r="C151" s="1" t="s">
        <v>675</v>
      </c>
      <c r="D151" s="1" t="s">
        <v>25</v>
      </c>
      <c r="E151" s="1" t="s">
        <v>94</v>
      </c>
      <c r="F151" s="1" t="s">
        <v>676</v>
      </c>
      <c r="G151" s="1" t="s">
        <v>19</v>
      </c>
      <c r="H151" s="1" t="s">
        <v>20</v>
      </c>
      <c r="I151" s="1" t="s">
        <v>21</v>
      </c>
      <c r="J151" s="1" t="s">
        <v>79</v>
      </c>
      <c r="K151">
        <v>1500</v>
      </c>
      <c r="L151">
        <v>4324</v>
      </c>
      <c r="M151">
        <v>0</v>
      </c>
      <c r="N15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5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51" s="5" t="s">
        <v>676</v>
      </c>
      <c r="Q151" t="str">
        <f>IF(OR(digital_banking_transactions3[[#This Row],[Nominal_Bersih]]&lt;0,digital_banking_transactions3[[#This Row],[Nominal_Bersih]]=0),"Invalid","Valid")</f>
        <v>Valid</v>
      </c>
      <c r="R15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45533</v>
      </c>
      <c r="S151" s="1" t="str">
        <f>TEXT(digital_banking_transactions3[[#This Row],[Tanggal_Bersih]],"MMMM YYYY")</f>
        <v>August 2024</v>
      </c>
      <c r="T15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5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52" spans="1:21" x14ac:dyDescent="0.35">
      <c r="A152" s="1" t="s">
        <v>677</v>
      </c>
      <c r="B152" s="1" t="s">
        <v>678</v>
      </c>
      <c r="C152" s="1" t="s">
        <v>679</v>
      </c>
      <c r="D152" s="1" t="s">
        <v>254</v>
      </c>
      <c r="E152" s="1" t="s">
        <v>39</v>
      </c>
      <c r="F152" s="1">
        <v>25021043</v>
      </c>
      <c r="G152" s="1" t="s">
        <v>137</v>
      </c>
      <c r="H152" s="1" t="s">
        <v>60</v>
      </c>
      <c r="I152" s="1" t="s">
        <v>21</v>
      </c>
      <c r="J152" s="1" t="s">
        <v>79</v>
      </c>
      <c r="K152">
        <v>7500</v>
      </c>
      <c r="L152">
        <v>4145</v>
      </c>
      <c r="M152">
        <v>0</v>
      </c>
      <c r="N15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5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52" s="5">
        <v>25021043</v>
      </c>
      <c r="Q152" t="str">
        <f>IF(OR(digital_banking_transactions3[[#This Row],[Nominal_Bersih]]&lt;0,digital_banking_transactions3[[#This Row],[Nominal_Bersih]]=0),"Invalid","Valid")</f>
        <v>Valid</v>
      </c>
      <c r="R15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45508</v>
      </c>
      <c r="S152" s="1" t="str">
        <f>TEXT(digital_banking_transactions3[[#This Row],[Tanggal_Bersih]],"MMMM YYYY")</f>
        <v>August 2024</v>
      </c>
      <c r="T15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5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53" spans="1:21" x14ac:dyDescent="0.35">
      <c r="A153" s="1" t="s">
        <v>682</v>
      </c>
      <c r="B153" s="1" t="s">
        <v>683</v>
      </c>
      <c r="C153" s="1" t="s">
        <v>684</v>
      </c>
      <c r="D153" s="1" t="s">
        <v>25</v>
      </c>
      <c r="E153" s="1" t="s">
        <v>32</v>
      </c>
      <c r="F153" s="1" t="s">
        <v>685</v>
      </c>
      <c r="G153" s="1" t="s">
        <v>65</v>
      </c>
      <c r="H153" s="1" t="s">
        <v>20</v>
      </c>
      <c r="I153" s="1" t="s">
        <v>21</v>
      </c>
      <c r="J153" s="1" t="s">
        <v>21</v>
      </c>
      <c r="K153">
        <v>0</v>
      </c>
      <c r="L153">
        <v>1384</v>
      </c>
      <c r="M153">
        <v>0</v>
      </c>
      <c r="N15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5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53" s="5" t="s">
        <v>685</v>
      </c>
      <c r="Q153" t="str">
        <f>IF(OR(digital_banking_transactions3[[#This Row],[Nominal_Bersih]]&lt;0,digital_banking_transactions3[[#This Row],[Nominal_Bersih]]=0),"Invalid","Valid")</f>
        <v>Valid</v>
      </c>
      <c r="R15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45643</v>
      </c>
      <c r="S153" s="1" t="str">
        <f>TEXT(digital_banking_transactions3[[#This Row],[Tanggal_Bersih]],"MMMM YYYY")</f>
        <v>December 2024</v>
      </c>
      <c r="T15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5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54" spans="1:21" x14ac:dyDescent="0.35">
      <c r="A154" s="1" t="s">
        <v>686</v>
      </c>
      <c r="B154" s="1" t="s">
        <v>687</v>
      </c>
      <c r="C154" s="1" t="s">
        <v>688</v>
      </c>
      <c r="D154" s="1" t="s">
        <v>58</v>
      </c>
      <c r="E154" s="1" t="s">
        <v>52</v>
      </c>
      <c r="F154" s="1">
        <v>1023343</v>
      </c>
      <c r="G154" s="1" t="s">
        <v>27</v>
      </c>
      <c r="H154" s="1" t="s">
        <v>77</v>
      </c>
      <c r="I154" s="1" t="s">
        <v>131</v>
      </c>
      <c r="J154" s="1" t="s">
        <v>21</v>
      </c>
      <c r="K154">
        <v>6500</v>
      </c>
      <c r="L154">
        <v>3732</v>
      </c>
      <c r="M154">
        <v>0</v>
      </c>
      <c r="N15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5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54" s="5">
        <v>1023343</v>
      </c>
      <c r="Q154" t="str">
        <f>IF(OR(digital_banking_transactions3[[#This Row],[Nominal_Bersih]]&lt;0,digital_banking_transactions3[[#This Row],[Nominal_Bersih]]=0),"Invalid","Valid")</f>
        <v>Valid</v>
      </c>
      <c r="R15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45510</v>
      </c>
      <c r="S154" s="1" t="str">
        <f>TEXT(digital_banking_transactions3[[#This Row],[Tanggal_Bersih]],"MMMM YYYY")</f>
        <v>August 2024</v>
      </c>
      <c r="T15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5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55" spans="1:21" x14ac:dyDescent="0.35">
      <c r="A155" s="1" t="s">
        <v>691</v>
      </c>
      <c r="B155" s="1" t="s">
        <v>692</v>
      </c>
      <c r="C155" s="1" t="s">
        <v>693</v>
      </c>
      <c r="D155" s="1" t="s">
        <v>16</v>
      </c>
      <c r="E155" s="1" t="s">
        <v>17</v>
      </c>
      <c r="F155" s="1">
        <v>499296</v>
      </c>
      <c r="G155" s="1" t="s">
        <v>41</v>
      </c>
      <c r="H155" s="1" t="s">
        <v>20</v>
      </c>
      <c r="I155" s="1" t="s">
        <v>21</v>
      </c>
      <c r="J155" s="1" t="s">
        <v>21</v>
      </c>
      <c r="K155">
        <v>2500</v>
      </c>
      <c r="L155">
        <v>1300</v>
      </c>
      <c r="M155">
        <v>0</v>
      </c>
      <c r="N15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5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55" s="5">
        <v>499296</v>
      </c>
      <c r="Q155" t="str">
        <f>IF(OR(digital_banking_transactions3[[#This Row],[Nominal_Bersih]]&lt;0,digital_banking_transactions3[[#This Row],[Nominal_Bersih]]=0),"Invalid","Valid")</f>
        <v>Valid</v>
      </c>
      <c r="R15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45526</v>
      </c>
      <c r="S155" s="1" t="str">
        <f>TEXT(digital_banking_transactions3[[#This Row],[Tanggal_Bersih]],"MMMM YYYY")</f>
        <v>August 2024</v>
      </c>
      <c r="T15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5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56" spans="1:21" x14ac:dyDescent="0.35">
      <c r="A156" s="1" t="s">
        <v>695</v>
      </c>
      <c r="B156" s="1" t="s">
        <v>696</v>
      </c>
      <c r="C156" s="1" t="s">
        <v>697</v>
      </c>
      <c r="D156" s="1" t="s">
        <v>284</v>
      </c>
      <c r="E156" s="1" t="s">
        <v>39</v>
      </c>
      <c r="F156" s="1" t="s">
        <v>698</v>
      </c>
      <c r="G156" s="1" t="s">
        <v>126</v>
      </c>
      <c r="H156" s="1" t="s">
        <v>35</v>
      </c>
      <c r="I156" s="1" t="s">
        <v>21</v>
      </c>
      <c r="J156" s="1" t="s">
        <v>71</v>
      </c>
      <c r="K156">
        <v>7500</v>
      </c>
      <c r="L156">
        <v>4550</v>
      </c>
      <c r="M156">
        <v>0</v>
      </c>
      <c r="N15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5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56" s="5" t="s">
        <v>698</v>
      </c>
      <c r="Q156" t="str">
        <f>IF(OR(digital_banking_transactions3[[#This Row],[Nominal_Bersih]]&lt;0,digital_banking_transactions3[[#This Row],[Nominal_Bersih]]=0),"Invalid","Valid")</f>
        <v>Valid</v>
      </c>
      <c r="R15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45401</v>
      </c>
      <c r="S156" s="1" t="str">
        <f>TEXT(digital_banking_transactions3[[#This Row],[Tanggal_Bersih]],"MMMM YYYY")</f>
        <v>April 2024</v>
      </c>
      <c r="T15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5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57" spans="1:21" x14ac:dyDescent="0.35">
      <c r="A157" s="1" t="s">
        <v>699</v>
      </c>
      <c r="B157" s="1" t="s">
        <v>700</v>
      </c>
      <c r="C157" s="1" t="s">
        <v>701</v>
      </c>
      <c r="D157" s="1" t="s">
        <v>75</v>
      </c>
      <c r="E157" s="1" t="s">
        <v>32</v>
      </c>
      <c r="F157" s="1">
        <v>22730155</v>
      </c>
      <c r="G157" s="1" t="s">
        <v>126</v>
      </c>
      <c r="H157" s="1" t="s">
        <v>106</v>
      </c>
      <c r="I157" s="1" t="s">
        <v>21</v>
      </c>
      <c r="J157" s="1" t="s">
        <v>71</v>
      </c>
      <c r="K157">
        <v>0</v>
      </c>
      <c r="L157">
        <v>737</v>
      </c>
      <c r="M157">
        <v>0</v>
      </c>
      <c r="N15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5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57" s="5">
        <v>22730155</v>
      </c>
      <c r="Q157" t="str">
        <f>IF(OR(digital_banking_transactions3[[#This Row],[Nominal_Bersih]]&lt;0,digital_banking_transactions3[[#This Row],[Nominal_Bersih]]=0),"Invalid","Valid")</f>
        <v>Valid</v>
      </c>
      <c r="R15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45500</v>
      </c>
      <c r="S157" s="1" t="str">
        <f>TEXT(digital_banking_transactions3[[#This Row],[Tanggal_Bersih]],"MMMM YYYY")</f>
        <v>July 2024</v>
      </c>
      <c r="T15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5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58" spans="1:21" x14ac:dyDescent="0.35">
      <c r="A158" s="1" t="s">
        <v>703</v>
      </c>
      <c r="B158" s="1" t="s">
        <v>704</v>
      </c>
      <c r="C158" s="1" t="s">
        <v>705</v>
      </c>
      <c r="D158" s="1" t="s">
        <v>75</v>
      </c>
      <c r="E158" s="1" t="s">
        <v>39</v>
      </c>
      <c r="F158" s="1" t="s">
        <v>706</v>
      </c>
      <c r="G158" s="1" t="s">
        <v>19</v>
      </c>
      <c r="H158" s="1" t="s">
        <v>42</v>
      </c>
      <c r="I158" s="1" t="s">
        <v>21</v>
      </c>
      <c r="J158" s="1" t="s">
        <v>286</v>
      </c>
      <c r="K158">
        <v>7500</v>
      </c>
      <c r="L158">
        <v>589</v>
      </c>
      <c r="M158">
        <v>0</v>
      </c>
      <c r="N15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5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58" s="5" t="s">
        <v>706</v>
      </c>
      <c r="Q158" t="str">
        <f>IF(OR(digital_banking_transactions3[[#This Row],[Nominal_Bersih]]&lt;0,digital_banking_transactions3[[#This Row],[Nominal_Bersih]]=0),"Invalid","Valid")</f>
        <v>Valid</v>
      </c>
      <c r="R15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45447</v>
      </c>
      <c r="S158" s="1" t="str">
        <f>TEXT(digital_banking_transactions3[[#This Row],[Tanggal_Bersih]],"MMMM YYYY")</f>
        <v>June 2024</v>
      </c>
      <c r="T15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5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59" spans="1:21" x14ac:dyDescent="0.35">
      <c r="A159" s="1" t="s">
        <v>707</v>
      </c>
      <c r="B159" s="1" t="s">
        <v>708</v>
      </c>
      <c r="C159" s="1" t="s">
        <v>709</v>
      </c>
      <c r="D159" s="1" t="s">
        <v>75</v>
      </c>
      <c r="E159" s="1" t="s">
        <v>32</v>
      </c>
      <c r="F159" s="1">
        <v>344539</v>
      </c>
      <c r="G159" s="1" t="s">
        <v>41</v>
      </c>
      <c r="H159" s="1" t="s">
        <v>106</v>
      </c>
      <c r="I159" s="1" t="s">
        <v>21</v>
      </c>
      <c r="J159" s="1" t="s">
        <v>79</v>
      </c>
      <c r="K159">
        <v>0</v>
      </c>
      <c r="L159">
        <v>2464</v>
      </c>
      <c r="M159">
        <v>0</v>
      </c>
      <c r="N15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5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59" s="5">
        <v>344539</v>
      </c>
      <c r="Q159" t="str">
        <f>IF(OR(digital_banking_transactions3[[#This Row],[Nominal_Bersih]]&lt;0,digital_banking_transactions3[[#This Row],[Nominal_Bersih]]=0),"Invalid","Valid")</f>
        <v>Valid</v>
      </c>
      <c r="R15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45309</v>
      </c>
      <c r="S159" s="1" t="str">
        <f>TEXT(digital_banking_transactions3[[#This Row],[Tanggal_Bersih]],"MMMM YYYY")</f>
        <v>January 2024</v>
      </c>
      <c r="T15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5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60" spans="1:21" x14ac:dyDescent="0.35">
      <c r="A160" s="1" t="s">
        <v>711</v>
      </c>
      <c r="B160" s="1" t="s">
        <v>712</v>
      </c>
      <c r="C160" s="1" t="s">
        <v>713</v>
      </c>
      <c r="D160" s="1" t="s">
        <v>110</v>
      </c>
      <c r="E160" s="1" t="s">
        <v>94</v>
      </c>
      <c r="F160" s="1">
        <v>2263805000</v>
      </c>
      <c r="G160" s="1" t="s">
        <v>41</v>
      </c>
      <c r="H160" s="1" t="s">
        <v>20</v>
      </c>
      <c r="I160" s="1" t="s">
        <v>21</v>
      </c>
      <c r="J160" s="1" t="s">
        <v>21</v>
      </c>
      <c r="K160">
        <v>1500</v>
      </c>
      <c r="L160">
        <v>3470</v>
      </c>
      <c r="M160">
        <v>0</v>
      </c>
      <c r="N16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6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60" s="5">
        <v>2263805000</v>
      </c>
      <c r="Q160" t="str">
        <f>IF(OR(digital_banking_transactions3[[#This Row],[Nominal_Bersih]]&lt;0,digital_banking_transactions3[[#This Row],[Nominal_Bersih]]=0),"Invalid","Valid")</f>
        <v>Valid</v>
      </c>
      <c r="R16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45479</v>
      </c>
      <c r="S160" s="1" t="str">
        <f>TEXT(digital_banking_transactions3[[#This Row],[Tanggal_Bersih]],"MMMM YYYY")</f>
        <v>July 2024</v>
      </c>
      <c r="T16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6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61" spans="1:21" x14ac:dyDescent="0.35">
      <c r="A161" s="1" t="s">
        <v>715</v>
      </c>
      <c r="B161" s="1" t="s">
        <v>716</v>
      </c>
      <c r="C161" s="1" t="s">
        <v>717</v>
      </c>
      <c r="D161" s="1" t="s">
        <v>25</v>
      </c>
      <c r="E161" s="1" t="s">
        <v>52</v>
      </c>
      <c r="F161" s="4">
        <v>637795</v>
      </c>
      <c r="G161" s="1" t="s">
        <v>41</v>
      </c>
      <c r="H161" s="1" t="s">
        <v>20</v>
      </c>
      <c r="I161" s="1" t="s">
        <v>291</v>
      </c>
      <c r="J161" s="1" t="s">
        <v>121</v>
      </c>
      <c r="K161">
        <v>6500</v>
      </c>
      <c r="L161">
        <v>4046</v>
      </c>
      <c r="M161">
        <v>0</v>
      </c>
      <c r="N16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6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61" s="5">
        <v>637795</v>
      </c>
      <c r="Q161" t="str">
        <f>IF(OR(digital_banking_transactions3[[#This Row],[Nominal_Bersih]]&lt;0,digital_banking_transactions3[[#This Row],[Nominal_Bersih]]=0),"Invalid","Valid")</f>
        <v>Valid</v>
      </c>
      <c r="R16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45437</v>
      </c>
      <c r="S161" s="1" t="str">
        <f>TEXT(digital_banking_transactions3[[#This Row],[Tanggal_Bersih]],"MMMM YYYY")</f>
        <v>May 2024</v>
      </c>
      <c r="T16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6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62" spans="1:21" x14ac:dyDescent="0.35">
      <c r="A162" s="1" t="s">
        <v>719</v>
      </c>
      <c r="B162" s="1" t="s">
        <v>720</v>
      </c>
      <c r="C162" s="1" t="s">
        <v>721</v>
      </c>
      <c r="D162" s="1" t="s">
        <v>75</v>
      </c>
      <c r="E162" s="1" t="s">
        <v>39</v>
      </c>
      <c r="F162" s="1" t="s">
        <v>722</v>
      </c>
      <c r="G162" s="1" t="s">
        <v>41</v>
      </c>
      <c r="H162" s="1" t="s">
        <v>54</v>
      </c>
      <c r="I162" s="1" t="s">
        <v>21</v>
      </c>
      <c r="J162" s="1" t="s">
        <v>79</v>
      </c>
      <c r="K162">
        <v>7500</v>
      </c>
      <c r="L162">
        <v>2553</v>
      </c>
      <c r="M162">
        <v>0</v>
      </c>
      <c r="N16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6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62" s="5" t="s">
        <v>722</v>
      </c>
      <c r="Q162" t="str">
        <f>IF(OR(digital_banking_transactions3[[#This Row],[Nominal_Bersih]]&lt;0,digital_banking_transactions3[[#This Row],[Nominal_Bersih]]=0),"Invalid","Valid")</f>
        <v>Valid</v>
      </c>
      <c r="R16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45506</v>
      </c>
      <c r="S162" s="1" t="str">
        <f>TEXT(digital_banking_transactions3[[#This Row],[Tanggal_Bersih]],"MMMM YYYY")</f>
        <v>August 2024</v>
      </c>
      <c r="T16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6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63" spans="1:21" x14ac:dyDescent="0.35">
      <c r="A163" s="1" t="s">
        <v>723</v>
      </c>
      <c r="B163" s="1" t="s">
        <v>724</v>
      </c>
      <c r="C163" s="1" t="s">
        <v>725</v>
      </c>
      <c r="D163" s="1" t="s">
        <v>58</v>
      </c>
      <c r="E163" s="1" t="s">
        <v>32</v>
      </c>
      <c r="F163" s="1" t="s">
        <v>726</v>
      </c>
      <c r="G163" s="1" t="s">
        <v>126</v>
      </c>
      <c r="H163" s="1" t="s">
        <v>35</v>
      </c>
      <c r="I163" s="1" t="s">
        <v>21</v>
      </c>
      <c r="J163" s="1" t="s">
        <v>21</v>
      </c>
      <c r="K163">
        <v>0</v>
      </c>
      <c r="L163">
        <v>4170</v>
      </c>
      <c r="M163">
        <v>0</v>
      </c>
      <c r="N16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6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63" s="5" t="s">
        <v>726</v>
      </c>
      <c r="Q163" t="str">
        <f>IF(OR(digital_banking_transactions3[[#This Row],[Nominal_Bersih]]&lt;0,digital_banking_transactions3[[#This Row],[Nominal_Bersih]]=0),"Invalid","Valid")</f>
        <v>Valid</v>
      </c>
      <c r="R16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45337</v>
      </c>
      <c r="S163" s="1" t="str">
        <f>TEXT(digital_banking_transactions3[[#This Row],[Tanggal_Bersih]],"MMMM YYYY")</f>
        <v>February 2024</v>
      </c>
      <c r="T16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6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64" spans="1:21" x14ac:dyDescent="0.35">
      <c r="A164" s="1" t="s">
        <v>727</v>
      </c>
      <c r="B164" s="1" t="s">
        <v>728</v>
      </c>
      <c r="C164" s="1" t="s">
        <v>729</v>
      </c>
      <c r="D164" s="1" t="s">
        <v>16</v>
      </c>
      <c r="E164" s="1" t="s">
        <v>32</v>
      </c>
      <c r="F164" s="1">
        <v>455587100</v>
      </c>
      <c r="G164" s="1" t="s">
        <v>126</v>
      </c>
      <c r="H164" s="1" t="s">
        <v>96</v>
      </c>
      <c r="I164" s="1" t="s">
        <v>21</v>
      </c>
      <c r="J164" s="1" t="s">
        <v>21</v>
      </c>
      <c r="K164">
        <v>0</v>
      </c>
      <c r="L164">
        <v>3304</v>
      </c>
      <c r="M164">
        <v>0</v>
      </c>
      <c r="N16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6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64" s="5">
        <v>455587100</v>
      </c>
      <c r="Q164" t="str">
        <f>IF(OR(digital_banking_transactions3[[#This Row],[Nominal_Bersih]]&lt;0,digital_banking_transactions3[[#This Row],[Nominal_Bersih]]=0),"Invalid","Valid")</f>
        <v>Valid</v>
      </c>
      <c r="R16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45527</v>
      </c>
      <c r="S164" s="1" t="str">
        <f>TEXT(digital_banking_transactions3[[#This Row],[Tanggal_Bersih]],"MMMM YYYY")</f>
        <v>August 2024</v>
      </c>
      <c r="T16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6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65" spans="1:21" x14ac:dyDescent="0.35">
      <c r="A165" s="1" t="s">
        <v>731</v>
      </c>
      <c r="B165" s="1" t="s">
        <v>732</v>
      </c>
      <c r="C165" s="1" t="s">
        <v>733</v>
      </c>
      <c r="D165" s="1" t="s">
        <v>16</v>
      </c>
      <c r="E165" s="1" t="s">
        <v>52</v>
      </c>
      <c r="F165" s="1" t="s">
        <v>734</v>
      </c>
      <c r="G165" s="1" t="s">
        <v>41</v>
      </c>
      <c r="H165" s="1" t="s">
        <v>35</v>
      </c>
      <c r="I165" s="1" t="s">
        <v>131</v>
      </c>
      <c r="J165" s="1" t="s">
        <v>21</v>
      </c>
      <c r="K165">
        <v>6500</v>
      </c>
      <c r="M165">
        <v>0</v>
      </c>
      <c r="N16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6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65" s="5" t="s">
        <v>734</v>
      </c>
      <c r="Q165" t="str">
        <f>IF(OR(digital_banking_transactions3[[#This Row],[Nominal_Bersih]]&lt;0,digital_banking_transactions3[[#This Row],[Nominal_Bersih]]=0),"Invalid","Valid")</f>
        <v>Valid</v>
      </c>
      <c r="R16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45552</v>
      </c>
      <c r="S165" s="1" t="str">
        <f>TEXT(digital_banking_transactions3[[#This Row],[Tanggal_Bersih]],"MMMM YYYY")</f>
        <v>September 2024</v>
      </c>
      <c r="T16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6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166" spans="1:21" x14ac:dyDescent="0.35">
      <c r="A166" s="1" t="s">
        <v>735</v>
      </c>
      <c r="B166" s="1" t="s">
        <v>736</v>
      </c>
      <c r="C166" s="1" t="s">
        <v>737</v>
      </c>
      <c r="D166" s="1" t="s">
        <v>75</v>
      </c>
      <c r="E166" s="1" t="s">
        <v>52</v>
      </c>
      <c r="F166" s="4">
        <v>58897</v>
      </c>
      <c r="G166" s="1" t="s">
        <v>126</v>
      </c>
      <c r="H166" s="1" t="s">
        <v>106</v>
      </c>
      <c r="I166" s="1" t="s">
        <v>112</v>
      </c>
      <c r="J166" s="1" t="s">
        <v>79</v>
      </c>
      <c r="K166">
        <v>6500</v>
      </c>
      <c r="L166">
        <v>2209</v>
      </c>
      <c r="M166">
        <v>0</v>
      </c>
      <c r="N16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6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66" s="5">
        <v>58897</v>
      </c>
      <c r="Q166" t="str">
        <f>IF(OR(digital_banking_transactions3[[#This Row],[Nominal_Bersih]]&lt;0,digital_banking_transactions3[[#This Row],[Nominal_Bersih]]=0),"Invalid","Valid")</f>
        <v>Valid</v>
      </c>
      <c r="R16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45613</v>
      </c>
      <c r="S166" s="1" t="str">
        <f>TEXT(digital_banking_transactions3[[#This Row],[Tanggal_Bersih]],"MMMM YYYY")</f>
        <v>November 2024</v>
      </c>
      <c r="T16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6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67" spans="1:21" x14ac:dyDescent="0.35">
      <c r="A167" s="1" t="s">
        <v>739</v>
      </c>
      <c r="B167" s="1" t="s">
        <v>740</v>
      </c>
      <c r="C167" s="1" t="s">
        <v>741</v>
      </c>
      <c r="D167" s="1" t="s">
        <v>16</v>
      </c>
      <c r="E167" s="1" t="s">
        <v>94</v>
      </c>
      <c r="F167" s="1">
        <v>4624894</v>
      </c>
      <c r="G167" s="1" t="s">
        <v>105</v>
      </c>
      <c r="H167" s="1" t="s">
        <v>77</v>
      </c>
      <c r="I167" s="1" t="s">
        <v>21</v>
      </c>
      <c r="J167" s="1" t="s">
        <v>21</v>
      </c>
      <c r="K167">
        <v>1500</v>
      </c>
      <c r="L167">
        <v>500</v>
      </c>
      <c r="M167">
        <v>0</v>
      </c>
      <c r="N16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6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67" s="5">
        <v>4624894</v>
      </c>
      <c r="Q167" t="str">
        <f>IF(OR(digital_banking_transactions3[[#This Row],[Nominal_Bersih]]&lt;0,digital_banking_transactions3[[#This Row],[Nominal_Bersih]]=0),"Invalid","Valid")</f>
        <v>Valid</v>
      </c>
      <c r="R16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45557</v>
      </c>
      <c r="S167" s="1" t="str">
        <f>TEXT(digital_banking_transactions3[[#This Row],[Tanggal_Bersih]],"MMMM YYYY")</f>
        <v>September 2024</v>
      </c>
      <c r="T16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6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68" spans="1:21" x14ac:dyDescent="0.35">
      <c r="A168" s="1" t="s">
        <v>743</v>
      </c>
      <c r="B168" s="1" t="s">
        <v>744</v>
      </c>
      <c r="C168" s="1" t="s">
        <v>745</v>
      </c>
      <c r="D168" s="1" t="s">
        <v>16</v>
      </c>
      <c r="E168" s="1" t="s">
        <v>52</v>
      </c>
      <c r="F168" s="1">
        <v>2115987</v>
      </c>
      <c r="G168" s="1" t="s">
        <v>48</v>
      </c>
      <c r="H168" s="1" t="s">
        <v>54</v>
      </c>
      <c r="I168" s="1" t="s">
        <v>131</v>
      </c>
      <c r="J168" s="1" t="s">
        <v>21</v>
      </c>
      <c r="K168">
        <v>6500</v>
      </c>
      <c r="L168">
        <v>1973</v>
      </c>
      <c r="M168">
        <v>1</v>
      </c>
      <c r="N16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6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68" s="5">
        <v>2115987</v>
      </c>
      <c r="Q168" t="str">
        <f>IF(OR(digital_banking_transactions3[[#This Row],[Nominal_Bersih]]&lt;0,digital_banking_transactions3[[#This Row],[Nominal_Bersih]]=0),"Invalid","Valid")</f>
        <v>Valid</v>
      </c>
      <c r="R16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45372</v>
      </c>
      <c r="S168" s="1" t="str">
        <f>TEXT(digital_banking_transactions3[[#This Row],[Tanggal_Bersih]],"MMMM YYYY")</f>
        <v>March 2024</v>
      </c>
      <c r="T16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6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69" spans="1:21" x14ac:dyDescent="0.35">
      <c r="A169" s="1" t="s">
        <v>748</v>
      </c>
      <c r="B169" s="1" t="s">
        <v>749</v>
      </c>
      <c r="C169" s="1" t="s">
        <v>750</v>
      </c>
      <c r="D169" s="1" t="s">
        <v>16</v>
      </c>
      <c r="E169" s="1" t="s">
        <v>94</v>
      </c>
      <c r="F169" s="1">
        <v>1950490100</v>
      </c>
      <c r="G169" s="1" t="s">
        <v>65</v>
      </c>
      <c r="H169" s="1" t="s">
        <v>20</v>
      </c>
      <c r="I169" s="1" t="s">
        <v>21</v>
      </c>
      <c r="J169" s="1" t="s">
        <v>21</v>
      </c>
      <c r="K169">
        <v>1500</v>
      </c>
      <c r="L169">
        <v>4160</v>
      </c>
      <c r="M169">
        <v>0</v>
      </c>
      <c r="N16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6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69" s="5">
        <v>1950490100</v>
      </c>
      <c r="Q169" t="str">
        <f>IF(OR(digital_banking_transactions3[[#This Row],[Nominal_Bersih]]&lt;0,digital_banking_transactions3[[#This Row],[Nominal_Bersih]]=0),"Invalid","Valid")</f>
        <v>Valid</v>
      </c>
      <c r="R16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45308</v>
      </c>
      <c r="S169" s="1" t="str">
        <f>TEXT(digital_banking_transactions3[[#This Row],[Tanggal_Bersih]],"MMMM YYYY")</f>
        <v>January 2024</v>
      </c>
      <c r="T16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6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70" spans="1:21" x14ac:dyDescent="0.35">
      <c r="A170" s="1" t="s">
        <v>752</v>
      </c>
      <c r="B170" s="1" t="s">
        <v>753</v>
      </c>
      <c r="C170" s="1" t="s">
        <v>754</v>
      </c>
      <c r="D170" s="1" t="s">
        <v>284</v>
      </c>
      <c r="E170" s="1" t="s">
        <v>52</v>
      </c>
      <c r="F170" s="1" t="s">
        <v>755</v>
      </c>
      <c r="G170" s="1" t="s">
        <v>41</v>
      </c>
      <c r="H170" s="1" t="s">
        <v>20</v>
      </c>
      <c r="I170" s="1" t="s">
        <v>66</v>
      </c>
      <c r="J170" s="1" t="s">
        <v>71</v>
      </c>
      <c r="K170">
        <v>6500</v>
      </c>
      <c r="L170">
        <v>2455</v>
      </c>
      <c r="M170">
        <v>0</v>
      </c>
      <c r="N17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7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70" s="5" t="s">
        <v>755</v>
      </c>
      <c r="Q170" t="str">
        <f>IF(OR(digital_banking_transactions3[[#This Row],[Nominal_Bersih]]&lt;0,digital_banking_transactions3[[#This Row],[Nominal_Bersih]]=0),"Invalid","Valid")</f>
        <v>Valid</v>
      </c>
      <c r="R17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45375</v>
      </c>
      <c r="S170" s="1" t="str">
        <f>TEXT(digital_banking_transactions3[[#This Row],[Tanggal_Bersih]],"MMMM YYYY")</f>
        <v>March 2024</v>
      </c>
      <c r="T17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7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71" spans="1:21" x14ac:dyDescent="0.35">
      <c r="A171" s="1" t="s">
        <v>756</v>
      </c>
      <c r="B171" s="1" t="s">
        <v>757</v>
      </c>
      <c r="C171" s="1" t="s">
        <v>758</v>
      </c>
      <c r="D171" s="1" t="s">
        <v>25</v>
      </c>
      <c r="E171" s="1" t="s">
        <v>39</v>
      </c>
      <c r="F171" s="1" t="s">
        <v>759</v>
      </c>
      <c r="G171" s="1" t="s">
        <v>65</v>
      </c>
      <c r="H171" s="1" t="s">
        <v>60</v>
      </c>
      <c r="I171" s="1" t="s">
        <v>21</v>
      </c>
      <c r="J171" s="1" t="s">
        <v>21</v>
      </c>
      <c r="K171">
        <v>7500</v>
      </c>
      <c r="L171">
        <v>1183</v>
      </c>
      <c r="M171">
        <v>0</v>
      </c>
      <c r="N17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7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71" s="5" t="s">
        <v>759</v>
      </c>
      <c r="Q171" t="str">
        <f>IF(OR(digital_banking_transactions3[[#This Row],[Nominal_Bersih]]&lt;0,digital_banking_transactions3[[#This Row],[Nominal_Bersih]]=0),"Invalid","Valid")</f>
        <v>Valid</v>
      </c>
      <c r="R17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45307</v>
      </c>
      <c r="S171" s="1" t="str">
        <f>TEXT(digital_banking_transactions3[[#This Row],[Tanggal_Bersih]],"MMMM YYYY")</f>
        <v>January 2024</v>
      </c>
      <c r="T17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7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72" spans="1:21" x14ac:dyDescent="0.35">
      <c r="A172" s="1" t="s">
        <v>760</v>
      </c>
      <c r="B172" s="1" t="s">
        <v>761</v>
      </c>
      <c r="C172" s="1" t="s">
        <v>762</v>
      </c>
      <c r="D172" s="1" t="s">
        <v>16</v>
      </c>
      <c r="E172" s="1" t="s">
        <v>39</v>
      </c>
      <c r="F172" s="1" t="s">
        <v>763</v>
      </c>
      <c r="G172" s="1" t="s">
        <v>41</v>
      </c>
      <c r="H172" s="1" t="s">
        <v>20</v>
      </c>
      <c r="I172" s="1" t="s">
        <v>21</v>
      </c>
      <c r="J172" s="1" t="s">
        <v>21</v>
      </c>
      <c r="K172">
        <v>7500</v>
      </c>
      <c r="L172">
        <v>2549</v>
      </c>
      <c r="M172">
        <v>0</v>
      </c>
      <c r="N17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7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72" s="5" t="s">
        <v>763</v>
      </c>
      <c r="Q172" t="str">
        <f>IF(OR(digital_banking_transactions3[[#This Row],[Nominal_Bersih]]&lt;0,digital_banking_transactions3[[#This Row],[Nominal_Bersih]]=0),"Invalid","Valid")</f>
        <v>Valid</v>
      </c>
      <c r="R17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45554</v>
      </c>
      <c r="S172" s="1" t="str">
        <f>TEXT(digital_banking_transactions3[[#This Row],[Tanggal_Bersih]],"MMMM YYYY")</f>
        <v>September 2024</v>
      </c>
      <c r="T17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7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73" spans="1:21" x14ac:dyDescent="0.35">
      <c r="A173" s="1" t="s">
        <v>764</v>
      </c>
      <c r="B173" s="1" t="s">
        <v>765</v>
      </c>
      <c r="C173" s="1" t="s">
        <v>766</v>
      </c>
      <c r="D173" s="1" t="s">
        <v>546</v>
      </c>
      <c r="E173" s="1" t="s">
        <v>39</v>
      </c>
      <c r="F173" s="4">
        <v>3678773</v>
      </c>
      <c r="G173" s="1" t="s">
        <v>65</v>
      </c>
      <c r="H173" s="1" t="s">
        <v>42</v>
      </c>
      <c r="I173" s="1" t="s">
        <v>21</v>
      </c>
      <c r="J173" s="1" t="s">
        <v>21</v>
      </c>
      <c r="K173">
        <v>7500</v>
      </c>
      <c r="L173">
        <v>1095</v>
      </c>
      <c r="M173">
        <v>0</v>
      </c>
      <c r="N17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7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73" s="5">
        <v>3678773</v>
      </c>
      <c r="Q173" t="str">
        <f>IF(OR(digital_banking_transactions3[[#This Row],[Nominal_Bersih]]&lt;0,digital_banking_transactions3[[#This Row],[Nominal_Bersih]]=0),"Invalid","Valid")</f>
        <v>Valid</v>
      </c>
      <c r="R17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45525</v>
      </c>
      <c r="S173" s="1" t="str">
        <f>TEXT(digital_banking_transactions3[[#This Row],[Tanggal_Bersih]],"MMMM YYYY")</f>
        <v>August 2024</v>
      </c>
      <c r="T17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7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74" spans="1:21" x14ac:dyDescent="0.35">
      <c r="A174" s="1" t="s">
        <v>768</v>
      </c>
      <c r="B174" s="1" t="s">
        <v>769</v>
      </c>
      <c r="C174" s="1" t="s">
        <v>770</v>
      </c>
      <c r="D174" s="1" t="s">
        <v>16</v>
      </c>
      <c r="E174" s="1" t="s">
        <v>52</v>
      </c>
      <c r="F174" s="1" t="s">
        <v>771</v>
      </c>
      <c r="G174" s="1" t="s">
        <v>126</v>
      </c>
      <c r="H174" s="1" t="s">
        <v>106</v>
      </c>
      <c r="I174" s="1" t="s">
        <v>772</v>
      </c>
      <c r="J174" s="1" t="s">
        <v>21</v>
      </c>
      <c r="K174">
        <v>6500</v>
      </c>
      <c r="L174">
        <v>1109</v>
      </c>
      <c r="M174">
        <v>0</v>
      </c>
      <c r="N17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7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74" s="5" t="s">
        <v>771</v>
      </c>
      <c r="Q174" t="str">
        <f>IF(OR(digital_banking_transactions3[[#This Row],[Nominal_Bersih]]&lt;0,digital_banking_transactions3[[#This Row],[Nominal_Bersih]]=0),"Invalid","Valid")</f>
        <v>Valid</v>
      </c>
      <c r="R17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45307</v>
      </c>
      <c r="S174" s="1" t="str">
        <f>TEXT(digital_banking_transactions3[[#This Row],[Tanggal_Bersih]],"MMMM YYYY")</f>
        <v>January 2024</v>
      </c>
      <c r="T17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7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75" spans="1:21" x14ac:dyDescent="0.35">
      <c r="A175" s="1" t="s">
        <v>773</v>
      </c>
      <c r="B175" s="1" t="s">
        <v>62</v>
      </c>
      <c r="C175" s="1" t="s">
        <v>774</v>
      </c>
      <c r="D175" s="1" t="s">
        <v>16</v>
      </c>
      <c r="E175" s="1" t="s">
        <v>32</v>
      </c>
      <c r="F175" s="1">
        <v>322890</v>
      </c>
      <c r="G175" s="1" t="s">
        <v>137</v>
      </c>
      <c r="H175" s="1" t="s">
        <v>96</v>
      </c>
      <c r="I175" s="1" t="s">
        <v>21</v>
      </c>
      <c r="J175" s="1" t="s">
        <v>21</v>
      </c>
      <c r="K175">
        <v>0</v>
      </c>
      <c r="L175">
        <v>300</v>
      </c>
      <c r="M175">
        <v>0</v>
      </c>
      <c r="N17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7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75" s="5">
        <v>322890</v>
      </c>
      <c r="Q175" t="str">
        <f>IF(OR(digital_banking_transactions3[[#This Row],[Nominal_Bersih]]&lt;0,digital_banking_transactions3[[#This Row],[Nominal_Bersih]]=0),"Invalid","Valid")</f>
        <v>Valid</v>
      </c>
      <c r="R17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45645</v>
      </c>
      <c r="S175" s="1" t="str">
        <f>TEXT(digital_banking_transactions3[[#This Row],[Tanggal_Bersih]],"MMMM YYYY")</f>
        <v>December 2024</v>
      </c>
      <c r="T17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7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76" spans="1:21" x14ac:dyDescent="0.35">
      <c r="A176" s="1" t="s">
        <v>776</v>
      </c>
      <c r="B176" s="1" t="s">
        <v>777</v>
      </c>
      <c r="C176" s="1" t="s">
        <v>778</v>
      </c>
      <c r="D176" s="1" t="s">
        <v>75</v>
      </c>
      <c r="E176" s="1" t="s">
        <v>39</v>
      </c>
      <c r="F176" s="4">
        <v>39522887</v>
      </c>
      <c r="G176" s="1" t="s">
        <v>27</v>
      </c>
      <c r="H176" s="1" t="s">
        <v>54</v>
      </c>
      <c r="I176" s="1" t="s">
        <v>21</v>
      </c>
      <c r="J176" s="1" t="s">
        <v>71</v>
      </c>
      <c r="K176">
        <v>7500</v>
      </c>
      <c r="L176">
        <v>1131</v>
      </c>
      <c r="M176">
        <v>0</v>
      </c>
      <c r="N17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7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76" s="5">
        <v>39522887</v>
      </c>
      <c r="Q176" t="str">
        <f>IF(OR(digital_banking_transactions3[[#This Row],[Nominal_Bersih]]&lt;0,digital_banking_transactions3[[#This Row],[Nominal_Bersih]]=0),"Invalid","Valid")</f>
        <v>Valid</v>
      </c>
      <c r="R17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45399</v>
      </c>
      <c r="S176" s="1" t="str">
        <f>TEXT(digital_banking_transactions3[[#This Row],[Tanggal_Bersih]],"MMMM YYYY")</f>
        <v>April 2024</v>
      </c>
      <c r="T17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7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77" spans="1:21" x14ac:dyDescent="0.35">
      <c r="A177" s="1" t="s">
        <v>780</v>
      </c>
      <c r="B177" s="1" t="s">
        <v>781</v>
      </c>
      <c r="C177" s="1" t="s">
        <v>782</v>
      </c>
      <c r="D177" s="1" t="s">
        <v>16</v>
      </c>
      <c r="E177" s="1" t="s">
        <v>94</v>
      </c>
      <c r="F177" s="1">
        <v>3043718300</v>
      </c>
      <c r="G177" s="1" t="s">
        <v>27</v>
      </c>
      <c r="H177" s="1" t="s">
        <v>54</v>
      </c>
      <c r="I177" s="1" t="s">
        <v>21</v>
      </c>
      <c r="J177" s="1" t="s">
        <v>21</v>
      </c>
      <c r="K177">
        <v>1500</v>
      </c>
      <c r="L177">
        <v>2519</v>
      </c>
      <c r="M177">
        <v>0</v>
      </c>
      <c r="N17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7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77" s="5">
        <v>3043718300</v>
      </c>
      <c r="Q177" t="str">
        <f>IF(OR(digital_banking_transactions3[[#This Row],[Nominal_Bersih]]&lt;0,digital_banking_transactions3[[#This Row],[Nominal_Bersih]]=0),"Invalid","Valid")</f>
        <v>Valid</v>
      </c>
      <c r="R17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45327</v>
      </c>
      <c r="S177" s="1" t="str">
        <f>TEXT(digital_banking_transactions3[[#This Row],[Tanggal_Bersih]],"MMMM YYYY")</f>
        <v>February 2024</v>
      </c>
      <c r="T17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7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78" spans="1:21" x14ac:dyDescent="0.35">
      <c r="A178" s="1" t="s">
        <v>784</v>
      </c>
      <c r="B178" s="1" t="s">
        <v>785</v>
      </c>
      <c r="C178" s="1" t="s">
        <v>786</v>
      </c>
      <c r="D178" s="1" t="s">
        <v>75</v>
      </c>
      <c r="E178" s="1" t="s">
        <v>32</v>
      </c>
      <c r="F178" s="1">
        <v>293529</v>
      </c>
      <c r="G178" s="1" t="s">
        <v>48</v>
      </c>
      <c r="H178" s="1" t="s">
        <v>96</v>
      </c>
      <c r="I178" s="1" t="s">
        <v>21</v>
      </c>
      <c r="J178" s="1" t="s">
        <v>79</v>
      </c>
      <c r="K178">
        <v>0</v>
      </c>
      <c r="L178">
        <v>3255</v>
      </c>
      <c r="M178">
        <v>0</v>
      </c>
      <c r="N17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7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78" s="5">
        <v>293529</v>
      </c>
      <c r="Q178" t="str">
        <f>IF(OR(digital_banking_transactions3[[#This Row],[Nominal_Bersih]]&lt;0,digital_banking_transactions3[[#This Row],[Nominal_Bersih]]=0),"Invalid","Valid")</f>
        <v>Valid</v>
      </c>
      <c r="R17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45335</v>
      </c>
      <c r="S178" s="1" t="str">
        <f>TEXT(digital_banking_transactions3[[#This Row],[Tanggal_Bersih]],"MMMM YYYY")</f>
        <v>February 2024</v>
      </c>
      <c r="T17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7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79" spans="1:21" x14ac:dyDescent="0.35">
      <c r="A179" s="1" t="s">
        <v>788</v>
      </c>
      <c r="B179" s="1" t="s">
        <v>789</v>
      </c>
      <c r="C179" s="1" t="s">
        <v>790</v>
      </c>
      <c r="D179" s="1" t="s">
        <v>58</v>
      </c>
      <c r="E179" s="1" t="s">
        <v>52</v>
      </c>
      <c r="F179" s="1">
        <v>10994907</v>
      </c>
      <c r="G179" s="1" t="s">
        <v>48</v>
      </c>
      <c r="H179" s="1" t="s">
        <v>106</v>
      </c>
      <c r="I179" s="1" t="s">
        <v>112</v>
      </c>
      <c r="J179" s="1" t="s">
        <v>21</v>
      </c>
      <c r="L179">
        <v>1945</v>
      </c>
      <c r="M179">
        <v>0</v>
      </c>
      <c r="N17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7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79" s="5">
        <v>10994907</v>
      </c>
      <c r="Q179" t="str">
        <f>IF(OR(digital_banking_transactions3[[#This Row],[Nominal_Bersih]]&lt;0,digital_banking_transactions3[[#This Row],[Nominal_Bersih]]=0),"Invalid","Valid")</f>
        <v>Valid</v>
      </c>
      <c r="R17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45648</v>
      </c>
      <c r="S179" s="1" t="str">
        <f>TEXT(digital_banking_transactions3[[#This Row],[Tanggal_Bersih]],"MMMM YYYY")</f>
        <v>December 2024</v>
      </c>
      <c r="T17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7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80" spans="1:21" x14ac:dyDescent="0.35">
      <c r="A180" s="1" t="s">
        <v>792</v>
      </c>
      <c r="B180" s="1" t="s">
        <v>793</v>
      </c>
      <c r="C180" s="1" t="s">
        <v>794</v>
      </c>
      <c r="D180" s="1" t="s">
        <v>25</v>
      </c>
      <c r="E180" s="1" t="s">
        <v>17</v>
      </c>
      <c r="F180" s="1">
        <v>23673459</v>
      </c>
      <c r="G180" s="1" t="s">
        <v>126</v>
      </c>
      <c r="H180" s="1" t="s">
        <v>77</v>
      </c>
      <c r="I180" s="1" t="s">
        <v>21</v>
      </c>
      <c r="J180" s="1" t="s">
        <v>121</v>
      </c>
      <c r="K180">
        <v>2500</v>
      </c>
      <c r="L180">
        <v>1069</v>
      </c>
      <c r="M180">
        <v>0</v>
      </c>
      <c r="N18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8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80" s="5">
        <v>23673459</v>
      </c>
      <c r="Q180" t="str">
        <f>IF(OR(digital_banking_transactions3[[#This Row],[Nominal_Bersih]]&lt;0,digital_banking_transactions3[[#This Row],[Nominal_Bersih]]=0),"Invalid","Valid")</f>
        <v>Valid</v>
      </c>
      <c r="R18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45457</v>
      </c>
      <c r="S180" s="1" t="str">
        <f>TEXT(digital_banking_transactions3[[#This Row],[Tanggal_Bersih]],"MMMM YYYY")</f>
        <v>June 2024</v>
      </c>
      <c r="T18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8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81" spans="1:21" x14ac:dyDescent="0.35">
      <c r="A181" s="1" t="s">
        <v>796</v>
      </c>
      <c r="B181" s="1" t="s">
        <v>797</v>
      </c>
      <c r="C181" s="1" t="s">
        <v>798</v>
      </c>
      <c r="D181" s="1" t="s">
        <v>16</v>
      </c>
      <c r="E181" s="1" t="s">
        <v>94</v>
      </c>
      <c r="F181" s="1" t="s">
        <v>799</v>
      </c>
      <c r="G181" s="1" t="s">
        <v>126</v>
      </c>
      <c r="H181" s="1" t="s">
        <v>54</v>
      </c>
      <c r="I181" s="1" t="s">
        <v>21</v>
      </c>
      <c r="J181" s="1" t="s">
        <v>21</v>
      </c>
      <c r="K181">
        <v>1500</v>
      </c>
      <c r="L181">
        <v>1941</v>
      </c>
      <c r="M181">
        <v>0</v>
      </c>
      <c r="N18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8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81" s="5" t="s">
        <v>799</v>
      </c>
      <c r="Q181" t="str">
        <f>IF(OR(digital_banking_transactions3[[#This Row],[Nominal_Bersih]]&lt;0,digital_banking_transactions3[[#This Row],[Nominal_Bersih]]=0),"Invalid","Valid")</f>
        <v>Valid</v>
      </c>
      <c r="R18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45329</v>
      </c>
      <c r="S181" s="1" t="str">
        <f>TEXT(digital_banking_transactions3[[#This Row],[Tanggal_Bersih]],"MMMM YYYY")</f>
        <v>February 2024</v>
      </c>
      <c r="T18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8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82" spans="1:21" x14ac:dyDescent="0.35">
      <c r="A182" s="1" t="s">
        <v>800</v>
      </c>
      <c r="B182" s="1" t="s">
        <v>801</v>
      </c>
      <c r="C182" s="1" t="s">
        <v>802</v>
      </c>
      <c r="D182" s="1" t="s">
        <v>16</v>
      </c>
      <c r="E182" s="1" t="s">
        <v>52</v>
      </c>
      <c r="F182" s="1">
        <v>4098495200</v>
      </c>
      <c r="G182" s="1" t="s">
        <v>126</v>
      </c>
      <c r="H182" s="1" t="s">
        <v>20</v>
      </c>
      <c r="I182" s="1" t="s">
        <v>804</v>
      </c>
      <c r="J182" s="1" t="s">
        <v>21</v>
      </c>
      <c r="K182">
        <v>6500</v>
      </c>
      <c r="L182">
        <v>2595</v>
      </c>
      <c r="M182">
        <v>0</v>
      </c>
      <c r="N18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8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82" s="5">
        <v>4098495200</v>
      </c>
      <c r="Q182" t="str">
        <f>IF(OR(digital_banking_transactions3[[#This Row],[Nominal_Bersih]]&lt;0,digital_banking_transactions3[[#This Row],[Nominal_Bersih]]=0),"Invalid","Valid")</f>
        <v>Valid</v>
      </c>
      <c r="R18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45467</v>
      </c>
      <c r="S182" s="1" t="str">
        <f>TEXT(digital_banking_transactions3[[#This Row],[Tanggal_Bersih]],"MMMM YYYY")</f>
        <v>June 2024</v>
      </c>
      <c r="T18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8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83" spans="1:21" x14ac:dyDescent="0.35">
      <c r="A183" s="1" t="s">
        <v>805</v>
      </c>
      <c r="B183" s="1" t="s">
        <v>609</v>
      </c>
      <c r="C183" s="1" t="s">
        <v>806</v>
      </c>
      <c r="D183" s="1" t="s">
        <v>16</v>
      </c>
      <c r="E183" s="1" t="s">
        <v>52</v>
      </c>
      <c r="F183" s="1">
        <v>2837688800</v>
      </c>
      <c r="G183" s="1" t="s">
        <v>41</v>
      </c>
      <c r="H183" s="1" t="s">
        <v>20</v>
      </c>
      <c r="I183" s="1" t="s">
        <v>131</v>
      </c>
      <c r="J183" s="1" t="s">
        <v>21</v>
      </c>
      <c r="K183">
        <v>6500</v>
      </c>
      <c r="L183">
        <v>381</v>
      </c>
      <c r="M183">
        <v>0</v>
      </c>
      <c r="N18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8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83" s="5">
        <v>2837688800</v>
      </c>
      <c r="Q183" t="str">
        <f>IF(OR(digital_banking_transactions3[[#This Row],[Nominal_Bersih]]&lt;0,digital_banking_transactions3[[#This Row],[Nominal_Bersih]]=0),"Invalid","Valid")</f>
        <v>Valid</v>
      </c>
      <c r="R18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45567</v>
      </c>
      <c r="S183" s="1" t="str">
        <f>TEXT(digital_banking_transactions3[[#This Row],[Tanggal_Bersih]],"MMMM YYYY")</f>
        <v>October 2024</v>
      </c>
      <c r="T18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8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84" spans="1:21" x14ac:dyDescent="0.35">
      <c r="A184" s="1" t="s">
        <v>808</v>
      </c>
      <c r="B184" s="1" t="s">
        <v>809</v>
      </c>
      <c r="C184" s="1" t="s">
        <v>810</v>
      </c>
      <c r="D184" s="1" t="s">
        <v>75</v>
      </c>
      <c r="E184" s="1" t="s">
        <v>52</v>
      </c>
      <c r="F184" s="1" t="s">
        <v>811</v>
      </c>
      <c r="G184" s="1" t="s">
        <v>126</v>
      </c>
      <c r="H184" s="1" t="s">
        <v>54</v>
      </c>
      <c r="I184" s="1" t="s">
        <v>291</v>
      </c>
      <c r="J184" s="1" t="s">
        <v>121</v>
      </c>
      <c r="K184">
        <v>6500</v>
      </c>
      <c r="L184">
        <v>4609</v>
      </c>
      <c r="M184">
        <v>1</v>
      </c>
      <c r="N18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8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84" s="5" t="s">
        <v>811</v>
      </c>
      <c r="Q184" t="str">
        <f>IF(OR(digital_banking_transactions3[[#This Row],[Nominal_Bersih]]&lt;0,digital_banking_transactions3[[#This Row],[Nominal_Bersih]]=0),"Invalid","Valid")</f>
        <v>Valid</v>
      </c>
      <c r="R18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45440</v>
      </c>
      <c r="S184" s="1" t="str">
        <f>TEXT(digital_banking_transactions3[[#This Row],[Tanggal_Bersih]],"MMMM YYYY")</f>
        <v>May 2024</v>
      </c>
      <c r="T18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8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85" spans="1:21" x14ac:dyDescent="0.35">
      <c r="A185" s="1" t="s">
        <v>812</v>
      </c>
      <c r="B185" s="1" t="s">
        <v>813</v>
      </c>
      <c r="C185" s="1" t="s">
        <v>814</v>
      </c>
      <c r="D185" s="1" t="s">
        <v>75</v>
      </c>
      <c r="E185" s="1" t="s">
        <v>94</v>
      </c>
      <c r="F185" s="1">
        <v>178135200</v>
      </c>
      <c r="G185" s="1" t="s">
        <v>41</v>
      </c>
      <c r="H185" s="1" t="s">
        <v>35</v>
      </c>
      <c r="I185" s="1" t="s">
        <v>21</v>
      </c>
      <c r="J185" s="1" t="s">
        <v>79</v>
      </c>
      <c r="K185">
        <v>1500</v>
      </c>
      <c r="L185">
        <v>1389</v>
      </c>
      <c r="M185">
        <v>1</v>
      </c>
      <c r="N18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8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85" s="5">
        <v>178135200</v>
      </c>
      <c r="Q185" t="str">
        <f>IF(OR(digital_banking_transactions3[[#This Row],[Nominal_Bersih]]&lt;0,digital_banking_transactions3[[#This Row],[Nominal_Bersih]]=0),"Invalid","Valid")</f>
        <v>Valid</v>
      </c>
      <c r="R18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45362</v>
      </c>
      <c r="S185" s="1" t="str">
        <f>TEXT(digital_banking_transactions3[[#This Row],[Tanggal_Bersih]],"MMMM YYYY")</f>
        <v>March 2024</v>
      </c>
      <c r="T18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8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86" spans="1:21" x14ac:dyDescent="0.35">
      <c r="A186" s="1" t="s">
        <v>816</v>
      </c>
      <c r="B186" s="1" t="s">
        <v>817</v>
      </c>
      <c r="C186" s="1" t="s">
        <v>818</v>
      </c>
      <c r="D186" s="1" t="s">
        <v>93</v>
      </c>
      <c r="E186" s="1" t="s">
        <v>32</v>
      </c>
      <c r="F186" s="1" t="s">
        <v>819</v>
      </c>
      <c r="G186" s="1" t="s">
        <v>137</v>
      </c>
      <c r="H186" s="1" t="s">
        <v>77</v>
      </c>
      <c r="I186" s="1" t="s">
        <v>21</v>
      </c>
      <c r="J186" s="1" t="s">
        <v>79</v>
      </c>
      <c r="L186">
        <v>3104</v>
      </c>
      <c r="M186">
        <v>0</v>
      </c>
      <c r="N18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8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86" s="5" t="s">
        <v>819</v>
      </c>
      <c r="Q186" t="str">
        <f>IF(OR(digital_banking_transactions3[[#This Row],[Nominal_Bersih]]&lt;0,digital_banking_transactions3[[#This Row],[Nominal_Bersih]]=0),"Invalid","Valid")</f>
        <v>Valid</v>
      </c>
      <c r="R18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45352</v>
      </c>
      <c r="S186" s="1" t="str">
        <f>TEXT(digital_banking_transactions3[[#This Row],[Tanggal_Bersih]],"MMMM YYYY")</f>
        <v>March 2024</v>
      </c>
      <c r="T18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8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87" spans="1:21" x14ac:dyDescent="0.35">
      <c r="A187" s="1" t="s">
        <v>820</v>
      </c>
      <c r="B187" s="1" t="s">
        <v>821</v>
      </c>
      <c r="C187" s="1" t="s">
        <v>822</v>
      </c>
      <c r="D187" s="1" t="s">
        <v>46</v>
      </c>
      <c r="E187" s="1" t="s">
        <v>39</v>
      </c>
      <c r="F187" s="4">
        <v>313956</v>
      </c>
      <c r="G187" s="1" t="s">
        <v>65</v>
      </c>
      <c r="H187" s="1" t="s">
        <v>20</v>
      </c>
      <c r="I187" s="1" t="s">
        <v>21</v>
      </c>
      <c r="J187" s="1" t="s">
        <v>21</v>
      </c>
      <c r="K187">
        <v>7500</v>
      </c>
      <c r="L187">
        <v>4600</v>
      </c>
      <c r="M187">
        <v>0</v>
      </c>
      <c r="N18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8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87" s="5">
        <v>313956</v>
      </c>
      <c r="Q187" t="str">
        <f>IF(OR(digital_banking_transactions3[[#This Row],[Nominal_Bersih]]&lt;0,digital_banking_transactions3[[#This Row],[Nominal_Bersih]]=0),"Invalid","Valid")</f>
        <v>Valid</v>
      </c>
      <c r="R18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45394</v>
      </c>
      <c r="S187" s="1" t="str">
        <f>TEXT(digital_banking_transactions3[[#This Row],[Tanggal_Bersih]],"MMMM YYYY")</f>
        <v>April 2024</v>
      </c>
      <c r="T18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8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88" spans="1:21" x14ac:dyDescent="0.35">
      <c r="A188" s="1" t="s">
        <v>824</v>
      </c>
      <c r="B188" s="1" t="s">
        <v>825</v>
      </c>
      <c r="C188" s="1" t="s">
        <v>826</v>
      </c>
      <c r="D188" s="1" t="s">
        <v>75</v>
      </c>
      <c r="E188" s="1" t="s">
        <v>17</v>
      </c>
      <c r="F188" s="1">
        <v>53423</v>
      </c>
      <c r="G188" s="1" t="s">
        <v>126</v>
      </c>
      <c r="H188" s="1" t="s">
        <v>20</v>
      </c>
      <c r="I188" s="1" t="s">
        <v>21</v>
      </c>
      <c r="J188" s="1" t="s">
        <v>79</v>
      </c>
      <c r="K188">
        <v>2500</v>
      </c>
      <c r="L188">
        <v>3200</v>
      </c>
      <c r="M188">
        <v>0</v>
      </c>
      <c r="N18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8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88" s="5">
        <v>53423</v>
      </c>
      <c r="Q188" t="str">
        <f>IF(OR(digital_banking_transactions3[[#This Row],[Nominal_Bersih]]&lt;0,digital_banking_transactions3[[#This Row],[Nominal_Bersih]]=0),"Invalid","Valid")</f>
        <v>Valid</v>
      </c>
      <c r="R18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45306</v>
      </c>
      <c r="S188" s="1" t="str">
        <f>TEXT(digital_banking_transactions3[[#This Row],[Tanggal_Bersih]],"MMMM YYYY")</f>
        <v>January 2024</v>
      </c>
      <c r="T18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8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89" spans="1:21" x14ac:dyDescent="0.35">
      <c r="A189" s="1" t="s">
        <v>828</v>
      </c>
      <c r="B189" s="1" t="s">
        <v>829</v>
      </c>
      <c r="C189" s="1" t="s">
        <v>830</v>
      </c>
      <c r="D189" s="1" t="s">
        <v>16</v>
      </c>
      <c r="E189" s="1" t="s">
        <v>94</v>
      </c>
      <c r="F189" s="1">
        <v>146175300</v>
      </c>
      <c r="G189" s="1" t="s">
        <v>65</v>
      </c>
      <c r="H189" s="1" t="s">
        <v>106</v>
      </c>
      <c r="I189" s="1" t="s">
        <v>21</v>
      </c>
      <c r="J189" s="1" t="s">
        <v>21</v>
      </c>
      <c r="K189">
        <v>1500</v>
      </c>
      <c r="M189">
        <v>0</v>
      </c>
      <c r="N18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8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89" s="5">
        <v>146175300</v>
      </c>
      <c r="Q189" t="str">
        <f>IF(OR(digital_banking_transactions3[[#This Row],[Nominal_Bersih]]&lt;0,digital_banking_transactions3[[#This Row],[Nominal_Bersih]]=0),"Invalid","Valid")</f>
        <v>Valid</v>
      </c>
      <c r="R18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45377</v>
      </c>
      <c r="S189" s="1" t="str">
        <f>TEXT(digital_banking_transactions3[[#This Row],[Tanggal_Bersih]],"MMMM YYYY")</f>
        <v>March 2024</v>
      </c>
      <c r="T18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8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190" spans="1:21" x14ac:dyDescent="0.35">
      <c r="A190" s="1" t="s">
        <v>832</v>
      </c>
      <c r="B190" s="1" t="s">
        <v>833</v>
      </c>
      <c r="C190" s="1" t="s">
        <v>834</v>
      </c>
      <c r="D190" s="1" t="s">
        <v>46</v>
      </c>
      <c r="E190" s="1" t="s">
        <v>39</v>
      </c>
      <c r="F190" s="1">
        <v>46978</v>
      </c>
      <c r="G190" s="1" t="s">
        <v>34</v>
      </c>
      <c r="H190" s="1" t="s">
        <v>96</v>
      </c>
      <c r="I190" s="1" t="s">
        <v>21</v>
      </c>
      <c r="J190" s="1" t="s">
        <v>21</v>
      </c>
      <c r="L190">
        <v>1040</v>
      </c>
      <c r="M190">
        <v>0</v>
      </c>
      <c r="N19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9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90" s="5">
        <v>46978</v>
      </c>
      <c r="Q190" t="str">
        <f>IF(OR(digital_banking_transactions3[[#This Row],[Nominal_Bersih]]&lt;0,digital_banking_transactions3[[#This Row],[Nominal_Bersih]]=0),"Invalid","Valid")</f>
        <v>Valid</v>
      </c>
      <c r="R19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45373</v>
      </c>
      <c r="S190" s="1" t="str">
        <f>TEXT(digital_banking_transactions3[[#This Row],[Tanggal_Bersih]],"MMMM YYYY")</f>
        <v>March 2024</v>
      </c>
      <c r="T19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9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91" spans="1:21" x14ac:dyDescent="0.35">
      <c r="A191" s="1" t="s">
        <v>836</v>
      </c>
      <c r="B191" s="1" t="s">
        <v>837</v>
      </c>
      <c r="C191" s="1" t="s">
        <v>838</v>
      </c>
      <c r="D191" s="1" t="s">
        <v>75</v>
      </c>
      <c r="E191" s="1" t="s">
        <v>94</v>
      </c>
      <c r="F191" s="1" t="s">
        <v>839</v>
      </c>
      <c r="G191" s="1" t="s">
        <v>19</v>
      </c>
      <c r="H191" s="1" t="s">
        <v>77</v>
      </c>
      <c r="I191" s="1" t="s">
        <v>21</v>
      </c>
      <c r="J191" s="1" t="s">
        <v>71</v>
      </c>
      <c r="K191">
        <v>1500</v>
      </c>
      <c r="L191">
        <v>4249</v>
      </c>
      <c r="M191">
        <v>1</v>
      </c>
      <c r="N19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9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91" s="5" t="s">
        <v>839</v>
      </c>
      <c r="Q191" t="str">
        <f>IF(OR(digital_banking_transactions3[[#This Row],[Nominal_Bersih]]&lt;0,digital_banking_transactions3[[#This Row],[Nominal_Bersih]]=0),"Invalid","Valid")</f>
        <v>Valid</v>
      </c>
      <c r="R19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45375</v>
      </c>
      <c r="S191" s="1" t="str">
        <f>TEXT(digital_banking_transactions3[[#This Row],[Tanggal_Bersih]],"MMMM YYYY")</f>
        <v>March 2024</v>
      </c>
      <c r="T19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9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92" spans="1:21" x14ac:dyDescent="0.35">
      <c r="A192" s="1" t="s">
        <v>840</v>
      </c>
      <c r="B192" s="1" t="s">
        <v>841</v>
      </c>
      <c r="C192" s="1" t="s">
        <v>842</v>
      </c>
      <c r="D192" s="1" t="s">
        <v>58</v>
      </c>
      <c r="E192" s="1" t="s">
        <v>94</v>
      </c>
      <c r="F192" s="1" t="s">
        <v>843</v>
      </c>
      <c r="G192" s="1" t="s">
        <v>126</v>
      </c>
      <c r="H192" s="1" t="s">
        <v>96</v>
      </c>
      <c r="I192" s="1" t="s">
        <v>21</v>
      </c>
      <c r="J192" s="1" t="s">
        <v>21</v>
      </c>
      <c r="K192">
        <v>1500</v>
      </c>
      <c r="L192">
        <v>3946</v>
      </c>
      <c r="M192">
        <v>0</v>
      </c>
      <c r="N19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9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92" s="5" t="s">
        <v>843</v>
      </c>
      <c r="Q192" t="str">
        <f>IF(OR(digital_banking_transactions3[[#This Row],[Nominal_Bersih]]&lt;0,digital_banking_transactions3[[#This Row],[Nominal_Bersih]]=0),"Invalid","Valid")</f>
        <v>Valid</v>
      </c>
      <c r="R19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45361</v>
      </c>
      <c r="S192" s="1" t="str">
        <f>TEXT(digital_banking_transactions3[[#This Row],[Tanggal_Bersih]],"MMMM YYYY")</f>
        <v>March 2024</v>
      </c>
      <c r="T19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9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93" spans="1:21" x14ac:dyDescent="0.35">
      <c r="A193" s="1" t="s">
        <v>844</v>
      </c>
      <c r="B193" s="1" t="s">
        <v>845</v>
      </c>
      <c r="C193" s="1" t="s">
        <v>846</v>
      </c>
      <c r="D193" s="1" t="s">
        <v>25</v>
      </c>
      <c r="E193" s="1" t="s">
        <v>94</v>
      </c>
      <c r="F193" s="1">
        <v>11832594</v>
      </c>
      <c r="G193" s="1" t="s">
        <v>27</v>
      </c>
      <c r="H193" s="1" t="s">
        <v>42</v>
      </c>
      <c r="I193" s="1" t="s">
        <v>21</v>
      </c>
      <c r="J193" s="1" t="s">
        <v>21</v>
      </c>
      <c r="K193">
        <v>1500</v>
      </c>
      <c r="L193">
        <v>2920</v>
      </c>
      <c r="M193">
        <v>0</v>
      </c>
      <c r="N19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9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93" s="5">
        <v>11832594</v>
      </c>
      <c r="Q193" t="str">
        <f>IF(OR(digital_banking_transactions3[[#This Row],[Nominal_Bersih]]&lt;0,digital_banking_transactions3[[#This Row],[Nominal_Bersih]]=0),"Invalid","Valid")</f>
        <v>Valid</v>
      </c>
      <c r="R19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45434</v>
      </c>
      <c r="S193" s="1" t="str">
        <f>TEXT(digital_banking_transactions3[[#This Row],[Tanggal_Bersih]],"MMMM YYYY")</f>
        <v>May 2024</v>
      </c>
      <c r="T19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9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94" spans="1:21" x14ac:dyDescent="0.35">
      <c r="A194" s="1" t="s">
        <v>848</v>
      </c>
      <c r="B194" s="1" t="s">
        <v>849</v>
      </c>
      <c r="C194" s="1" t="s">
        <v>850</v>
      </c>
      <c r="D194" s="1" t="s">
        <v>58</v>
      </c>
      <c r="E194" s="1" t="s">
        <v>94</v>
      </c>
      <c r="F194" s="1">
        <v>1244700</v>
      </c>
      <c r="G194" s="1" t="s">
        <v>137</v>
      </c>
      <c r="H194" s="1" t="s">
        <v>35</v>
      </c>
      <c r="I194" s="1" t="s">
        <v>21</v>
      </c>
      <c r="J194" s="1" t="s">
        <v>21</v>
      </c>
      <c r="K194">
        <v>1500</v>
      </c>
      <c r="L194">
        <v>3342</v>
      </c>
      <c r="M194">
        <v>0</v>
      </c>
      <c r="N19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9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94" s="5">
        <v>1244700</v>
      </c>
      <c r="Q194" t="str">
        <f>IF(OR(digital_banking_transactions3[[#This Row],[Nominal_Bersih]]&lt;0,digital_banking_transactions3[[#This Row],[Nominal_Bersih]]=0),"Invalid","Valid")</f>
        <v>Valid</v>
      </c>
      <c r="R19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45606</v>
      </c>
      <c r="S194" s="1" t="str">
        <f>TEXT(digital_banking_transactions3[[#This Row],[Tanggal_Bersih]],"MMMM YYYY")</f>
        <v>November 2024</v>
      </c>
      <c r="T19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19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95" spans="1:21" x14ac:dyDescent="0.35">
      <c r="A195" s="1" t="s">
        <v>852</v>
      </c>
      <c r="B195" s="1" t="s">
        <v>853</v>
      </c>
      <c r="C195" s="1" t="s">
        <v>854</v>
      </c>
      <c r="D195" s="1" t="s">
        <v>167</v>
      </c>
      <c r="E195" s="1" t="s">
        <v>32</v>
      </c>
      <c r="F195" s="1">
        <v>4595397600</v>
      </c>
      <c r="G195" s="1" t="s">
        <v>41</v>
      </c>
      <c r="H195" s="1" t="s">
        <v>42</v>
      </c>
      <c r="I195" s="1" t="s">
        <v>21</v>
      </c>
      <c r="J195" s="1" t="s">
        <v>21</v>
      </c>
      <c r="K195">
        <v>0</v>
      </c>
      <c r="L195">
        <v>2597</v>
      </c>
      <c r="M195">
        <v>0</v>
      </c>
      <c r="N19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19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95" s="5">
        <v>4595397600</v>
      </c>
      <c r="Q195" t="str">
        <f>IF(OR(digital_banking_transactions3[[#This Row],[Nominal_Bersih]]&lt;0,digital_banking_transactions3[[#This Row],[Nominal_Bersih]]=0),"Invalid","Valid")</f>
        <v>Valid</v>
      </c>
      <c r="R19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45336</v>
      </c>
      <c r="S195" s="1" t="str">
        <f>TEXT(digital_banking_transactions3[[#This Row],[Tanggal_Bersih]],"MMMM YYYY")</f>
        <v>February 2024</v>
      </c>
      <c r="T19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9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96" spans="1:21" x14ac:dyDescent="0.35">
      <c r="A196" s="1" t="s">
        <v>856</v>
      </c>
      <c r="B196" s="1" t="s">
        <v>857</v>
      </c>
      <c r="C196" s="1" t="s">
        <v>858</v>
      </c>
      <c r="D196" s="1" t="s">
        <v>284</v>
      </c>
      <c r="E196" s="1" t="s">
        <v>39</v>
      </c>
      <c r="F196" s="4">
        <v>197362</v>
      </c>
      <c r="G196" s="1" t="s">
        <v>126</v>
      </c>
      <c r="H196" s="1" t="s">
        <v>96</v>
      </c>
      <c r="I196" s="1" t="s">
        <v>21</v>
      </c>
      <c r="J196" s="1" t="s">
        <v>79</v>
      </c>
      <c r="K196">
        <v>7500</v>
      </c>
      <c r="L196">
        <v>73107</v>
      </c>
      <c r="M196">
        <v>0</v>
      </c>
      <c r="N19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19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196" s="5">
        <v>197362</v>
      </c>
      <c r="Q196" t="str">
        <f>IF(OR(digital_banking_transactions3[[#This Row],[Nominal_Bersih]]&lt;0,digital_banking_transactions3[[#This Row],[Nominal_Bersih]]=0),"Invalid","Valid")</f>
        <v>Valid</v>
      </c>
      <c r="R19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45470</v>
      </c>
      <c r="S196" s="1" t="str">
        <f>TEXT(digital_banking_transactions3[[#This Row],[Tanggal_Bersih]],"MMMM YYYY")</f>
        <v>June 2024</v>
      </c>
      <c r="T19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9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197" spans="1:21" x14ac:dyDescent="0.35">
      <c r="A197" s="1" t="s">
        <v>861</v>
      </c>
      <c r="B197" s="1" t="s">
        <v>862</v>
      </c>
      <c r="C197" s="1" t="s">
        <v>863</v>
      </c>
      <c r="D197" s="1" t="s">
        <v>16</v>
      </c>
      <c r="E197" s="1" t="s">
        <v>32</v>
      </c>
      <c r="F197" s="4">
        <v>1656567</v>
      </c>
      <c r="G197" s="1" t="s">
        <v>195</v>
      </c>
      <c r="H197" s="1" t="s">
        <v>96</v>
      </c>
      <c r="I197" s="1" t="s">
        <v>21</v>
      </c>
      <c r="J197" s="1" t="s">
        <v>21</v>
      </c>
      <c r="K197">
        <v>0</v>
      </c>
      <c r="L197">
        <v>2910</v>
      </c>
      <c r="M197">
        <v>0</v>
      </c>
      <c r="N19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9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197" s="5">
        <v>1656567</v>
      </c>
      <c r="Q197" t="str">
        <f>IF(OR(digital_banking_transactions3[[#This Row],[Nominal_Bersih]]&lt;0,digital_banking_transactions3[[#This Row],[Nominal_Bersih]]=0),"Invalid","Valid")</f>
        <v>Valid</v>
      </c>
      <c r="R19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45389</v>
      </c>
      <c r="S197" s="1" t="str">
        <f>TEXT(digital_banking_transactions3[[#This Row],[Tanggal_Bersih]],"MMMM YYYY")</f>
        <v>April 2024</v>
      </c>
      <c r="T19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19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98" spans="1:21" x14ac:dyDescent="0.35">
      <c r="A198" s="1" t="s">
        <v>865</v>
      </c>
      <c r="B198" s="1" t="s">
        <v>866</v>
      </c>
      <c r="C198" s="1" t="s">
        <v>867</v>
      </c>
      <c r="D198" s="1" t="s">
        <v>150</v>
      </c>
      <c r="E198" s="1" t="s">
        <v>52</v>
      </c>
      <c r="F198" s="1">
        <v>14377155</v>
      </c>
      <c r="G198" s="1" t="s">
        <v>195</v>
      </c>
      <c r="H198" s="1" t="s">
        <v>60</v>
      </c>
      <c r="I198" s="1" t="s">
        <v>112</v>
      </c>
      <c r="J198" s="1" t="s">
        <v>21</v>
      </c>
      <c r="K198">
        <v>6500</v>
      </c>
      <c r="L198">
        <v>4831</v>
      </c>
      <c r="M198">
        <v>0</v>
      </c>
      <c r="N19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9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198" s="5">
        <v>14377155</v>
      </c>
      <c r="Q198" t="str">
        <f>IF(OR(digital_banking_transactions3[[#This Row],[Nominal_Bersih]]&lt;0,digital_banking_transactions3[[#This Row],[Nominal_Bersih]]=0),"Invalid","Valid")</f>
        <v>Valid</v>
      </c>
      <c r="R19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45300</v>
      </c>
      <c r="S198" s="1" t="str">
        <f>TEXT(digital_banking_transactions3[[#This Row],[Tanggal_Bersih]],"MMMM YYYY")</f>
        <v>January 2024</v>
      </c>
      <c r="T19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19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199" spans="1:21" x14ac:dyDescent="0.35">
      <c r="A199" s="1" t="s">
        <v>869</v>
      </c>
      <c r="B199" s="1" t="s">
        <v>732</v>
      </c>
      <c r="C199" s="1" t="s">
        <v>870</v>
      </c>
      <c r="D199" s="1" t="s">
        <v>167</v>
      </c>
      <c r="E199" s="1" t="s">
        <v>52</v>
      </c>
      <c r="F199" s="4">
        <v>2299299</v>
      </c>
      <c r="G199" s="1" t="s">
        <v>65</v>
      </c>
      <c r="H199" s="1" t="s">
        <v>35</v>
      </c>
      <c r="I199" s="1" t="s">
        <v>112</v>
      </c>
      <c r="J199" s="1" t="s">
        <v>21</v>
      </c>
      <c r="L199">
        <v>1152</v>
      </c>
      <c r="M199">
        <v>0</v>
      </c>
      <c r="N19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19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199" s="5">
        <v>2299299</v>
      </c>
      <c r="Q199" t="str">
        <f>IF(OR(digital_banking_transactions3[[#This Row],[Nominal_Bersih]]&lt;0,digital_banking_transactions3[[#This Row],[Nominal_Bersih]]=0),"Invalid","Valid")</f>
        <v>Valid</v>
      </c>
      <c r="R19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45552</v>
      </c>
      <c r="S199" s="1" t="str">
        <f>TEXT(digital_banking_transactions3[[#This Row],[Tanggal_Bersih]],"MMMM YYYY")</f>
        <v>September 2024</v>
      </c>
      <c r="T19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19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00" spans="1:21" x14ac:dyDescent="0.35">
      <c r="A200" s="1" t="s">
        <v>872</v>
      </c>
      <c r="B200" s="1" t="s">
        <v>873</v>
      </c>
      <c r="C200" s="1" t="s">
        <v>874</v>
      </c>
      <c r="D200" s="1" t="s">
        <v>25</v>
      </c>
      <c r="E200" s="1" t="s">
        <v>39</v>
      </c>
      <c r="F200" s="4">
        <v>945597</v>
      </c>
      <c r="G200" s="1" t="s">
        <v>65</v>
      </c>
      <c r="H200" s="1" t="s">
        <v>77</v>
      </c>
      <c r="I200" s="1" t="s">
        <v>21</v>
      </c>
      <c r="J200" s="1" t="s">
        <v>21</v>
      </c>
      <c r="K200">
        <v>7500</v>
      </c>
      <c r="L200">
        <v>4351</v>
      </c>
      <c r="M200">
        <v>1</v>
      </c>
      <c r="N20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0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00" s="5">
        <v>945597</v>
      </c>
      <c r="Q200" t="str">
        <f>IF(OR(digital_banking_transactions3[[#This Row],[Nominal_Bersih]]&lt;0,digital_banking_transactions3[[#This Row],[Nominal_Bersih]]=0),"Invalid","Valid")</f>
        <v>Valid</v>
      </c>
      <c r="R20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45529</v>
      </c>
      <c r="S200" s="1" t="str">
        <f>TEXT(digital_banking_transactions3[[#This Row],[Tanggal_Bersih]],"MMMM YYYY")</f>
        <v>August 2024</v>
      </c>
      <c r="T20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0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01" spans="1:21" x14ac:dyDescent="0.35">
      <c r="A201" s="1" t="s">
        <v>876</v>
      </c>
      <c r="B201" s="1" t="s">
        <v>877</v>
      </c>
      <c r="C201" s="1" t="s">
        <v>878</v>
      </c>
      <c r="D201" s="1" t="s">
        <v>75</v>
      </c>
      <c r="E201" s="1" t="s">
        <v>52</v>
      </c>
      <c r="F201" s="1" t="s">
        <v>879</v>
      </c>
      <c r="G201" s="1" t="s">
        <v>65</v>
      </c>
      <c r="H201" s="1" t="s">
        <v>54</v>
      </c>
      <c r="I201" s="1" t="s">
        <v>138</v>
      </c>
      <c r="J201" s="1" t="s">
        <v>21</v>
      </c>
      <c r="K201">
        <v>6500</v>
      </c>
      <c r="L201">
        <v>2105</v>
      </c>
      <c r="M201">
        <v>0</v>
      </c>
      <c r="N20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0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01" s="5" t="s">
        <v>879</v>
      </c>
      <c r="Q201" t="str">
        <f>IF(OR(digital_banking_transactions3[[#This Row],[Nominal_Bersih]]&lt;0,digital_banking_transactions3[[#This Row],[Nominal_Bersih]]=0),"Invalid","Valid")</f>
        <v>Valid</v>
      </c>
      <c r="R20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45521</v>
      </c>
      <c r="S201" s="1" t="str">
        <f>TEXT(digital_banking_transactions3[[#This Row],[Tanggal_Bersih]],"MMMM YYYY")</f>
        <v>August 2024</v>
      </c>
      <c r="T20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0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02" spans="1:21" x14ac:dyDescent="0.35">
      <c r="A202" s="1" t="s">
        <v>880</v>
      </c>
      <c r="B202" s="1" t="s">
        <v>881</v>
      </c>
      <c r="C202" s="1" t="s">
        <v>882</v>
      </c>
      <c r="D202" s="1" t="s">
        <v>25</v>
      </c>
      <c r="E202" s="1" t="s">
        <v>17</v>
      </c>
      <c r="F202" s="1" t="s">
        <v>883</v>
      </c>
      <c r="G202" s="1" t="s">
        <v>41</v>
      </c>
      <c r="H202" s="1" t="s">
        <v>77</v>
      </c>
      <c r="I202" s="1" t="s">
        <v>21</v>
      </c>
      <c r="J202" s="1" t="s">
        <v>79</v>
      </c>
      <c r="K202">
        <v>2500</v>
      </c>
      <c r="L202">
        <v>3007</v>
      </c>
      <c r="M202">
        <v>0</v>
      </c>
      <c r="N20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0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02" s="5" t="s">
        <v>883</v>
      </c>
      <c r="Q202" t="str">
        <f>IF(OR(digital_banking_transactions3[[#This Row],[Nominal_Bersih]]&lt;0,digital_banking_transactions3[[#This Row],[Nominal_Bersih]]=0),"Invalid","Valid")</f>
        <v>Valid</v>
      </c>
      <c r="R20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45402</v>
      </c>
      <c r="S202" s="1" t="str">
        <f>TEXT(digital_banking_transactions3[[#This Row],[Tanggal_Bersih]],"MMMM YYYY")</f>
        <v>April 2024</v>
      </c>
      <c r="T20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0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03" spans="1:21" x14ac:dyDescent="0.35">
      <c r="A203" s="1" t="s">
        <v>884</v>
      </c>
      <c r="B203" s="1" t="s">
        <v>885</v>
      </c>
      <c r="C203" s="1" t="s">
        <v>886</v>
      </c>
      <c r="D203" s="1" t="s">
        <v>150</v>
      </c>
      <c r="E203" s="1" t="s">
        <v>94</v>
      </c>
      <c r="F203" s="1">
        <v>25154152</v>
      </c>
      <c r="G203" s="1" t="s">
        <v>41</v>
      </c>
      <c r="H203" s="1" t="s">
        <v>54</v>
      </c>
      <c r="I203" s="1" t="s">
        <v>21</v>
      </c>
      <c r="J203" s="1" t="s">
        <v>21</v>
      </c>
      <c r="L203">
        <v>1611</v>
      </c>
      <c r="M203">
        <v>0</v>
      </c>
      <c r="N20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0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03" s="5">
        <v>25154152</v>
      </c>
      <c r="Q203" t="str">
        <f>IF(OR(digital_banking_transactions3[[#This Row],[Nominal_Bersih]]&lt;0,digital_banking_transactions3[[#This Row],[Nominal_Bersih]]=0),"Invalid","Valid")</f>
        <v>Valid</v>
      </c>
      <c r="R20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45572</v>
      </c>
      <c r="S203" s="1" t="str">
        <f>TEXT(digital_banking_transactions3[[#This Row],[Tanggal_Bersih]],"MMMM YYYY")</f>
        <v>October 2024</v>
      </c>
      <c r="T20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0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04" spans="1:21" x14ac:dyDescent="0.35">
      <c r="A204" s="1" t="s">
        <v>888</v>
      </c>
      <c r="B204" s="1" t="s">
        <v>889</v>
      </c>
      <c r="C204" s="1" t="s">
        <v>890</v>
      </c>
      <c r="D204" s="1" t="s">
        <v>110</v>
      </c>
      <c r="E204" s="1" t="s">
        <v>32</v>
      </c>
      <c r="F204" s="1">
        <v>147200100</v>
      </c>
      <c r="G204" s="1" t="s">
        <v>264</v>
      </c>
      <c r="H204" s="1" t="s">
        <v>60</v>
      </c>
      <c r="I204" s="1" t="s">
        <v>21</v>
      </c>
      <c r="J204" s="1" t="s">
        <v>21</v>
      </c>
      <c r="K204">
        <v>0</v>
      </c>
      <c r="M204">
        <v>0</v>
      </c>
      <c r="N20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0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04" s="5">
        <v>147200100</v>
      </c>
      <c r="Q204" t="str">
        <f>IF(OR(digital_banking_transactions3[[#This Row],[Nominal_Bersih]]&lt;0,digital_banking_transactions3[[#This Row],[Nominal_Bersih]]=0),"Invalid","Valid")</f>
        <v>Valid</v>
      </c>
      <c r="R20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45599</v>
      </c>
      <c r="S204" s="1" t="str">
        <f>TEXT(digital_banking_transactions3[[#This Row],[Tanggal_Bersih]],"MMMM YYYY")</f>
        <v>November 2024</v>
      </c>
      <c r="T20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0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205" spans="1:21" x14ac:dyDescent="0.35">
      <c r="A205" s="1" t="s">
        <v>893</v>
      </c>
      <c r="B205" s="1" t="s">
        <v>894</v>
      </c>
      <c r="C205" s="1" t="s">
        <v>895</v>
      </c>
      <c r="D205" s="1" t="s">
        <v>167</v>
      </c>
      <c r="E205" s="1" t="s">
        <v>32</v>
      </c>
      <c r="F205" s="1">
        <v>26617400</v>
      </c>
      <c r="G205" s="1" t="s">
        <v>195</v>
      </c>
      <c r="H205" s="1" t="s">
        <v>60</v>
      </c>
      <c r="I205" s="1" t="s">
        <v>21</v>
      </c>
      <c r="J205" s="1" t="s">
        <v>21</v>
      </c>
      <c r="K205">
        <v>0</v>
      </c>
      <c r="L205">
        <v>3565</v>
      </c>
      <c r="M205">
        <v>1</v>
      </c>
      <c r="N20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0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05" s="5">
        <v>26617400</v>
      </c>
      <c r="Q205" t="str">
        <f>IF(OR(digital_banking_transactions3[[#This Row],[Nominal_Bersih]]&lt;0,digital_banking_transactions3[[#This Row],[Nominal_Bersih]]=0),"Invalid","Valid")</f>
        <v>Valid</v>
      </c>
      <c r="R20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45379</v>
      </c>
      <c r="S205" s="1" t="str">
        <f>TEXT(digital_banking_transactions3[[#This Row],[Tanggal_Bersih]],"MMMM YYYY")</f>
        <v>March 2024</v>
      </c>
      <c r="T20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0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06" spans="1:21" x14ac:dyDescent="0.35">
      <c r="A206" s="1" t="s">
        <v>897</v>
      </c>
      <c r="B206" s="1" t="s">
        <v>898</v>
      </c>
      <c r="C206" s="1" t="s">
        <v>899</v>
      </c>
      <c r="D206" s="1" t="s">
        <v>284</v>
      </c>
      <c r="E206" s="1" t="s">
        <v>32</v>
      </c>
      <c r="F206" s="1" t="s">
        <v>900</v>
      </c>
      <c r="G206" s="1" t="s">
        <v>41</v>
      </c>
      <c r="H206" s="1" t="s">
        <v>106</v>
      </c>
      <c r="I206" s="1" t="s">
        <v>21</v>
      </c>
      <c r="J206" s="1" t="s">
        <v>79</v>
      </c>
      <c r="K206">
        <v>0</v>
      </c>
      <c r="L206">
        <v>4858</v>
      </c>
      <c r="M206">
        <v>0</v>
      </c>
      <c r="N20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0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06" s="5" t="s">
        <v>900</v>
      </c>
      <c r="Q206" t="str">
        <f>IF(OR(digital_banking_transactions3[[#This Row],[Nominal_Bersih]]&lt;0,digital_banking_transactions3[[#This Row],[Nominal_Bersih]]=0),"Invalid","Valid")</f>
        <v>Valid</v>
      </c>
      <c r="R20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45445</v>
      </c>
      <c r="S206" s="1" t="str">
        <f>TEXT(digital_banking_transactions3[[#This Row],[Tanggal_Bersih]],"MMMM YYYY")</f>
        <v>June 2024</v>
      </c>
      <c r="T20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0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07" spans="1:21" x14ac:dyDescent="0.35">
      <c r="A207" s="1" t="s">
        <v>901</v>
      </c>
      <c r="B207" s="1" t="s">
        <v>902</v>
      </c>
      <c r="C207" s="1" t="s">
        <v>903</v>
      </c>
      <c r="D207" s="1" t="s">
        <v>75</v>
      </c>
      <c r="E207" s="1" t="s">
        <v>17</v>
      </c>
      <c r="F207" s="4">
        <v>41197113</v>
      </c>
      <c r="G207" s="1" t="s">
        <v>65</v>
      </c>
      <c r="H207" s="1" t="s">
        <v>35</v>
      </c>
      <c r="I207" s="1" t="s">
        <v>21</v>
      </c>
      <c r="J207" s="1" t="s">
        <v>121</v>
      </c>
      <c r="K207">
        <v>2500</v>
      </c>
      <c r="L207">
        <v>766</v>
      </c>
      <c r="M207">
        <v>0</v>
      </c>
      <c r="N20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0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07" s="5">
        <v>41197113</v>
      </c>
      <c r="Q207" t="str">
        <f>IF(OR(digital_banking_transactions3[[#This Row],[Nominal_Bersih]]&lt;0,digital_banking_transactions3[[#This Row],[Nominal_Bersih]]=0),"Invalid","Valid")</f>
        <v>Valid</v>
      </c>
      <c r="R20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45383</v>
      </c>
      <c r="S207" s="1" t="str">
        <f>TEXT(digital_banking_transactions3[[#This Row],[Tanggal_Bersih]],"MMMM YYYY")</f>
        <v>April 2024</v>
      </c>
      <c r="T20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0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08" spans="1:21" x14ac:dyDescent="0.35">
      <c r="A208" s="1" t="s">
        <v>905</v>
      </c>
      <c r="B208" s="1" t="s">
        <v>906</v>
      </c>
      <c r="C208" s="1" t="s">
        <v>907</v>
      </c>
      <c r="D208" s="1" t="s">
        <v>31</v>
      </c>
      <c r="E208" s="1" t="s">
        <v>39</v>
      </c>
      <c r="F208" s="1" t="s">
        <v>908</v>
      </c>
      <c r="G208" s="1" t="s">
        <v>126</v>
      </c>
      <c r="H208" s="1" t="s">
        <v>20</v>
      </c>
      <c r="I208" s="1" t="s">
        <v>21</v>
      </c>
      <c r="J208" s="1" t="s">
        <v>21</v>
      </c>
      <c r="K208">
        <v>7500</v>
      </c>
      <c r="L208">
        <v>4042</v>
      </c>
      <c r="M208">
        <v>0</v>
      </c>
      <c r="N20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0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08" s="5" t="s">
        <v>908</v>
      </c>
      <c r="Q208" t="str">
        <f>IF(OR(digital_banking_transactions3[[#This Row],[Nominal_Bersih]]&lt;0,digital_banking_transactions3[[#This Row],[Nominal_Bersih]]=0),"Invalid","Valid")</f>
        <v>Valid</v>
      </c>
      <c r="R20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45522</v>
      </c>
      <c r="S208" s="1" t="str">
        <f>TEXT(digital_banking_transactions3[[#This Row],[Tanggal_Bersih]],"MMMM YYYY")</f>
        <v>August 2024</v>
      </c>
      <c r="T20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0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09" spans="1:21" x14ac:dyDescent="0.35">
      <c r="A209" s="1" t="s">
        <v>909</v>
      </c>
      <c r="B209" s="1" t="s">
        <v>910</v>
      </c>
      <c r="C209" s="1" t="s">
        <v>911</v>
      </c>
      <c r="D209" s="1" t="s">
        <v>110</v>
      </c>
      <c r="E209" s="1" t="s">
        <v>32</v>
      </c>
      <c r="F209" s="1">
        <v>2268388</v>
      </c>
      <c r="G209" s="1" t="s">
        <v>65</v>
      </c>
      <c r="H209" s="1" t="s">
        <v>77</v>
      </c>
      <c r="I209" s="1" t="s">
        <v>21</v>
      </c>
      <c r="J209" s="1" t="s">
        <v>21</v>
      </c>
      <c r="K209">
        <v>0</v>
      </c>
      <c r="L209">
        <v>797</v>
      </c>
      <c r="M209">
        <v>0</v>
      </c>
      <c r="N20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0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09" s="5">
        <v>2268388</v>
      </c>
      <c r="Q209" t="str">
        <f>IF(OR(digital_banking_transactions3[[#This Row],[Nominal_Bersih]]&lt;0,digital_banking_transactions3[[#This Row],[Nominal_Bersih]]=0),"Invalid","Valid")</f>
        <v>Valid</v>
      </c>
      <c r="R20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45580</v>
      </c>
      <c r="S209" s="1" t="str">
        <f>TEXT(digital_banking_transactions3[[#This Row],[Tanggal_Bersih]],"MMMM YYYY")</f>
        <v>October 2024</v>
      </c>
      <c r="T20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0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10" spans="1:21" x14ac:dyDescent="0.35">
      <c r="A210" s="1" t="s">
        <v>913</v>
      </c>
      <c r="B210" s="1" t="s">
        <v>914</v>
      </c>
      <c r="C210" s="1" t="s">
        <v>915</v>
      </c>
      <c r="D210" s="1" t="s">
        <v>25</v>
      </c>
      <c r="E210" s="1" t="s">
        <v>52</v>
      </c>
      <c r="F210" s="1" t="s">
        <v>916</v>
      </c>
      <c r="G210" s="1" t="s">
        <v>41</v>
      </c>
      <c r="H210" s="1" t="s">
        <v>106</v>
      </c>
      <c r="I210" s="1" t="s">
        <v>78</v>
      </c>
      <c r="J210" s="1" t="s">
        <v>121</v>
      </c>
      <c r="K210">
        <v>6500</v>
      </c>
      <c r="L210">
        <v>3344</v>
      </c>
      <c r="M210">
        <v>0</v>
      </c>
      <c r="N21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1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10" s="5" t="s">
        <v>916</v>
      </c>
      <c r="Q210" t="str">
        <f>IF(OR(digital_banking_transactions3[[#This Row],[Nominal_Bersih]]&lt;0,digital_banking_transactions3[[#This Row],[Nominal_Bersih]]=0),"Invalid","Valid")</f>
        <v>Valid</v>
      </c>
      <c r="R21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45409</v>
      </c>
      <c r="S210" s="1" t="str">
        <f>TEXT(digital_banking_transactions3[[#This Row],[Tanggal_Bersih]],"MMMM YYYY")</f>
        <v>April 2024</v>
      </c>
      <c r="T21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1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11" spans="1:21" x14ac:dyDescent="0.35">
      <c r="A211" s="1" t="s">
        <v>917</v>
      </c>
      <c r="B211" s="1" t="s">
        <v>918</v>
      </c>
      <c r="C211" s="1" t="s">
        <v>919</v>
      </c>
      <c r="D211" s="1" t="s">
        <v>167</v>
      </c>
      <c r="E211" s="1" t="s">
        <v>94</v>
      </c>
      <c r="F211" s="1" t="s">
        <v>920</v>
      </c>
      <c r="G211" s="1" t="s">
        <v>65</v>
      </c>
      <c r="H211" s="1" t="s">
        <v>96</v>
      </c>
      <c r="I211" s="1" t="s">
        <v>21</v>
      </c>
      <c r="J211" s="1" t="s">
        <v>21</v>
      </c>
      <c r="K211">
        <v>1500</v>
      </c>
      <c r="L211">
        <v>1716</v>
      </c>
      <c r="M211">
        <v>0</v>
      </c>
      <c r="N21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1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11" s="5" t="s">
        <v>920</v>
      </c>
      <c r="Q211" t="str">
        <f>IF(OR(digital_banking_transactions3[[#This Row],[Nominal_Bersih]]&lt;0,digital_banking_transactions3[[#This Row],[Nominal_Bersih]]=0),"Invalid","Valid")</f>
        <v>Valid</v>
      </c>
      <c r="R21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45422</v>
      </c>
      <c r="S211" s="1" t="str">
        <f>TEXT(digital_banking_transactions3[[#This Row],[Tanggal_Bersih]],"MMMM YYYY")</f>
        <v>May 2024</v>
      </c>
      <c r="T21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1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12" spans="1:21" x14ac:dyDescent="0.35">
      <c r="A212" s="1" t="s">
        <v>921</v>
      </c>
      <c r="B212" s="1" t="s">
        <v>922</v>
      </c>
      <c r="C212" s="1" t="s">
        <v>923</v>
      </c>
      <c r="D212" s="1" t="s">
        <v>58</v>
      </c>
      <c r="E212" s="1" t="s">
        <v>39</v>
      </c>
      <c r="F212" s="1">
        <v>4569525000</v>
      </c>
      <c r="G212" s="1" t="s">
        <v>65</v>
      </c>
      <c r="H212" s="1" t="s">
        <v>35</v>
      </c>
      <c r="I212" s="1" t="s">
        <v>21</v>
      </c>
      <c r="J212" s="1" t="s">
        <v>21</v>
      </c>
      <c r="K212">
        <v>7500</v>
      </c>
      <c r="L212">
        <v>1320</v>
      </c>
      <c r="M212">
        <v>0</v>
      </c>
      <c r="N21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1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12" s="5">
        <v>4569525000</v>
      </c>
      <c r="Q212" t="str">
        <f>IF(OR(digital_banking_transactions3[[#This Row],[Nominal_Bersih]]&lt;0,digital_banking_transactions3[[#This Row],[Nominal_Bersih]]=0),"Invalid","Valid")</f>
        <v>Valid</v>
      </c>
      <c r="R21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45586</v>
      </c>
      <c r="S212" s="1" t="str">
        <f>TEXT(digital_banking_transactions3[[#This Row],[Tanggal_Bersih]],"MMMM YYYY")</f>
        <v>October 2024</v>
      </c>
      <c r="T21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1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13" spans="1:21" x14ac:dyDescent="0.35">
      <c r="A213" s="1" t="s">
        <v>925</v>
      </c>
      <c r="B213" s="1" t="s">
        <v>926</v>
      </c>
      <c r="C213" s="1" t="s">
        <v>927</v>
      </c>
      <c r="D213" s="1" t="s">
        <v>58</v>
      </c>
      <c r="E213" s="1" t="s">
        <v>94</v>
      </c>
      <c r="F213" s="1" t="s">
        <v>928</v>
      </c>
      <c r="G213" s="1" t="s">
        <v>27</v>
      </c>
      <c r="H213" s="1" t="s">
        <v>77</v>
      </c>
      <c r="I213" s="1" t="s">
        <v>21</v>
      </c>
      <c r="J213" s="1" t="s">
        <v>21</v>
      </c>
      <c r="K213">
        <v>1500</v>
      </c>
      <c r="L213">
        <v>3083</v>
      </c>
      <c r="M213">
        <v>1</v>
      </c>
      <c r="N21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1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13" s="5" t="s">
        <v>928</v>
      </c>
      <c r="Q213" t="str">
        <f>IF(OR(digital_banking_transactions3[[#This Row],[Nominal_Bersih]]&lt;0,digital_banking_transactions3[[#This Row],[Nominal_Bersih]]=0),"Invalid","Valid")</f>
        <v>Valid</v>
      </c>
      <c r="R21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45600</v>
      </c>
      <c r="S213" s="1" t="str">
        <f>TEXT(digital_banking_transactions3[[#This Row],[Tanggal_Bersih]],"MMMM YYYY")</f>
        <v>November 2024</v>
      </c>
      <c r="T21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1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14" spans="1:21" x14ac:dyDescent="0.35">
      <c r="A214" s="1" t="s">
        <v>929</v>
      </c>
      <c r="B214" s="1" t="s">
        <v>930</v>
      </c>
      <c r="C214" s="1" t="s">
        <v>931</v>
      </c>
      <c r="D214" s="1" t="s">
        <v>16</v>
      </c>
      <c r="E214" s="1" t="s">
        <v>39</v>
      </c>
      <c r="F214" s="1">
        <v>1224654</v>
      </c>
      <c r="G214" s="1" t="s">
        <v>126</v>
      </c>
      <c r="H214" s="1" t="s">
        <v>77</v>
      </c>
      <c r="I214" s="1" t="s">
        <v>21</v>
      </c>
      <c r="J214" s="1" t="s">
        <v>21</v>
      </c>
      <c r="K214">
        <v>7500</v>
      </c>
      <c r="L214">
        <v>1800</v>
      </c>
      <c r="M214">
        <v>0</v>
      </c>
      <c r="N21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1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14" s="5">
        <v>1224654</v>
      </c>
      <c r="Q214" t="str">
        <f>IF(OR(digital_banking_transactions3[[#This Row],[Nominal_Bersih]]&lt;0,digital_banking_transactions3[[#This Row],[Nominal_Bersih]]=0),"Invalid","Valid")</f>
        <v>Valid</v>
      </c>
      <c r="R21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45406</v>
      </c>
      <c r="S214" s="1" t="str">
        <f>TEXT(digital_banking_transactions3[[#This Row],[Tanggal_Bersih]],"MMMM YYYY")</f>
        <v>April 2024</v>
      </c>
      <c r="T21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1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15" spans="1:21" x14ac:dyDescent="0.35">
      <c r="A215" s="1" t="s">
        <v>933</v>
      </c>
      <c r="B215" s="1" t="s">
        <v>934</v>
      </c>
      <c r="C215" s="1" t="s">
        <v>935</v>
      </c>
      <c r="D215" s="1" t="s">
        <v>75</v>
      </c>
      <c r="E215" s="1" t="s">
        <v>32</v>
      </c>
      <c r="F215" s="1" t="s">
        <v>936</v>
      </c>
      <c r="G215" s="1" t="s">
        <v>126</v>
      </c>
      <c r="H215" s="1" t="s">
        <v>106</v>
      </c>
      <c r="I215" s="1" t="s">
        <v>21</v>
      </c>
      <c r="J215" s="1" t="s">
        <v>79</v>
      </c>
      <c r="K215">
        <v>0</v>
      </c>
      <c r="L215">
        <v>1039</v>
      </c>
      <c r="M215">
        <v>1</v>
      </c>
      <c r="N21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1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15" s="5" t="s">
        <v>936</v>
      </c>
      <c r="Q215" t="str">
        <f>IF(OR(digital_banking_transactions3[[#This Row],[Nominal_Bersih]]&lt;0,digital_banking_transactions3[[#This Row],[Nominal_Bersih]]=0),"Invalid","Valid")</f>
        <v>Valid</v>
      </c>
      <c r="R21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45619</v>
      </c>
      <c r="S215" s="1" t="str">
        <f>TEXT(digital_banking_transactions3[[#This Row],[Tanggal_Bersih]],"MMMM YYYY")</f>
        <v>November 2024</v>
      </c>
      <c r="T21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1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16" spans="1:21" x14ac:dyDescent="0.35">
      <c r="A216" s="1" t="s">
        <v>937</v>
      </c>
      <c r="B216" s="1" t="s">
        <v>938</v>
      </c>
      <c r="C216" s="1" t="s">
        <v>939</v>
      </c>
      <c r="D216" s="1" t="s">
        <v>58</v>
      </c>
      <c r="E216" s="1" t="s">
        <v>32</v>
      </c>
      <c r="F216" s="1">
        <v>43390641</v>
      </c>
      <c r="G216" s="1" t="s">
        <v>41</v>
      </c>
      <c r="H216" s="1" t="s">
        <v>54</v>
      </c>
      <c r="I216" s="1" t="s">
        <v>21</v>
      </c>
      <c r="J216" s="1" t="s">
        <v>21</v>
      </c>
      <c r="K216">
        <v>0</v>
      </c>
      <c r="L216">
        <v>3413</v>
      </c>
      <c r="M216">
        <v>0</v>
      </c>
      <c r="N21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1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16" s="5">
        <v>43390641</v>
      </c>
      <c r="Q216" t="str">
        <f>IF(OR(digital_banking_transactions3[[#This Row],[Nominal_Bersih]]&lt;0,digital_banking_transactions3[[#This Row],[Nominal_Bersih]]=0),"Invalid","Valid")</f>
        <v>Valid</v>
      </c>
      <c r="R21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45374</v>
      </c>
      <c r="S216" s="1" t="str">
        <f>TEXT(digital_banking_transactions3[[#This Row],[Tanggal_Bersih]],"MMMM YYYY")</f>
        <v>March 2024</v>
      </c>
      <c r="T21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1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17" spans="1:21" x14ac:dyDescent="0.35">
      <c r="A217" s="1" t="s">
        <v>941</v>
      </c>
      <c r="B217" s="1" t="s">
        <v>942</v>
      </c>
      <c r="C217" s="1" t="s">
        <v>943</v>
      </c>
      <c r="D217" s="1" t="s">
        <v>16</v>
      </c>
      <c r="E217" s="1" t="s">
        <v>32</v>
      </c>
      <c r="F217" s="1" t="s">
        <v>944</v>
      </c>
      <c r="G217" s="1" t="s">
        <v>65</v>
      </c>
      <c r="H217" s="1" t="s">
        <v>35</v>
      </c>
      <c r="I217" s="1" t="s">
        <v>21</v>
      </c>
      <c r="J217" s="1" t="s">
        <v>21</v>
      </c>
      <c r="K217">
        <v>0</v>
      </c>
      <c r="L217">
        <v>30881</v>
      </c>
      <c r="M217">
        <v>0</v>
      </c>
      <c r="N21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1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17" s="5" t="s">
        <v>944</v>
      </c>
      <c r="Q217" t="str">
        <f>IF(OR(digital_banking_transactions3[[#This Row],[Nominal_Bersih]]&lt;0,digital_banking_transactions3[[#This Row],[Nominal_Bersih]]=0),"Invalid","Valid")</f>
        <v>Valid</v>
      </c>
      <c r="R21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45334</v>
      </c>
      <c r="S217" s="1" t="str">
        <f>TEXT(digital_banking_transactions3[[#This Row],[Tanggal_Bersih]],"MMMM YYYY")</f>
        <v>February 2024</v>
      </c>
      <c r="T21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1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218" spans="1:21" x14ac:dyDescent="0.35">
      <c r="A218" s="1" t="s">
        <v>945</v>
      </c>
      <c r="B218" s="1" t="s">
        <v>946</v>
      </c>
      <c r="C218" s="1" t="s">
        <v>947</v>
      </c>
      <c r="D218" s="1" t="s">
        <v>25</v>
      </c>
      <c r="E218" s="1" t="s">
        <v>17</v>
      </c>
      <c r="F218" s="4">
        <v>42839748</v>
      </c>
      <c r="G218" s="1" t="s">
        <v>41</v>
      </c>
      <c r="H218" s="1" t="s">
        <v>60</v>
      </c>
      <c r="I218" s="1" t="s">
        <v>21</v>
      </c>
      <c r="J218" s="1" t="s">
        <v>21</v>
      </c>
      <c r="K218">
        <v>2500</v>
      </c>
      <c r="L218">
        <v>491</v>
      </c>
      <c r="M218">
        <v>0</v>
      </c>
      <c r="N21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1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18" s="5">
        <v>42839748</v>
      </c>
      <c r="Q218" t="str">
        <f>IF(OR(digital_banking_transactions3[[#This Row],[Nominal_Bersih]]&lt;0,digital_banking_transactions3[[#This Row],[Nominal_Bersih]]=0),"Invalid","Valid")</f>
        <v>Valid</v>
      </c>
      <c r="R21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45396</v>
      </c>
      <c r="S218" s="1" t="str">
        <f>TEXT(digital_banking_transactions3[[#This Row],[Tanggal_Bersih]],"MMMM YYYY")</f>
        <v>April 2024</v>
      </c>
      <c r="T21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1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19" spans="1:21" x14ac:dyDescent="0.35">
      <c r="A219" s="1" t="s">
        <v>949</v>
      </c>
      <c r="B219" s="1" t="s">
        <v>950</v>
      </c>
      <c r="C219" s="1" t="s">
        <v>951</v>
      </c>
      <c r="D219" s="1" t="s">
        <v>31</v>
      </c>
      <c r="E219" s="1" t="s">
        <v>52</v>
      </c>
      <c r="F219" s="1" t="s">
        <v>952</v>
      </c>
      <c r="G219" s="1" t="s">
        <v>126</v>
      </c>
      <c r="H219" s="1" t="s">
        <v>96</v>
      </c>
      <c r="I219" s="1" t="s">
        <v>78</v>
      </c>
      <c r="J219" s="1" t="s">
        <v>21</v>
      </c>
      <c r="K219">
        <v>6500</v>
      </c>
      <c r="L219">
        <v>2243</v>
      </c>
      <c r="M219">
        <v>1</v>
      </c>
      <c r="N21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1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19" s="5" t="s">
        <v>952</v>
      </c>
      <c r="Q219" t="str">
        <f>IF(OR(digital_banking_transactions3[[#This Row],[Nominal_Bersih]]&lt;0,digital_banking_transactions3[[#This Row],[Nominal_Bersih]]=0),"Invalid","Valid")</f>
        <v>Valid</v>
      </c>
      <c r="R21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45348</v>
      </c>
      <c r="S219" s="1" t="str">
        <f>TEXT(digital_banking_transactions3[[#This Row],[Tanggal_Bersih]],"MMMM YYYY")</f>
        <v>February 2024</v>
      </c>
      <c r="T21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1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20" spans="1:21" x14ac:dyDescent="0.35">
      <c r="A220" s="1" t="s">
        <v>953</v>
      </c>
      <c r="B220" s="1" t="s">
        <v>954</v>
      </c>
      <c r="C220" s="1" t="s">
        <v>955</v>
      </c>
      <c r="D220" s="1" t="s">
        <v>58</v>
      </c>
      <c r="E220" s="1" t="s">
        <v>52</v>
      </c>
      <c r="F220" s="4">
        <v>23708</v>
      </c>
      <c r="G220" s="1" t="s">
        <v>27</v>
      </c>
      <c r="H220" s="1" t="s">
        <v>96</v>
      </c>
      <c r="I220" s="1" t="s">
        <v>291</v>
      </c>
      <c r="J220" s="1" t="s">
        <v>21</v>
      </c>
      <c r="K220">
        <v>6500</v>
      </c>
      <c r="L220">
        <v>2096</v>
      </c>
      <c r="M220">
        <v>0</v>
      </c>
      <c r="N22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2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20" s="5">
        <v>23708</v>
      </c>
      <c r="Q220" t="str">
        <f>IF(OR(digital_banking_transactions3[[#This Row],[Nominal_Bersih]]&lt;0,digital_banking_transactions3[[#This Row],[Nominal_Bersih]]=0),"Invalid","Valid")</f>
        <v>Valid</v>
      </c>
      <c r="R22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45563</v>
      </c>
      <c r="S220" s="1" t="str">
        <f>TEXT(digital_banking_transactions3[[#This Row],[Tanggal_Bersih]],"MMMM YYYY")</f>
        <v>September 2024</v>
      </c>
      <c r="T22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2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21" spans="1:21" x14ac:dyDescent="0.35">
      <c r="A221" s="1" t="s">
        <v>957</v>
      </c>
      <c r="B221" s="1" t="s">
        <v>958</v>
      </c>
      <c r="C221" s="1" t="s">
        <v>959</v>
      </c>
      <c r="D221" s="1" t="s">
        <v>16</v>
      </c>
      <c r="E221" s="1" t="s">
        <v>52</v>
      </c>
      <c r="F221" s="1">
        <v>19987645</v>
      </c>
      <c r="G221" s="1" t="s">
        <v>65</v>
      </c>
      <c r="H221" s="1" t="s">
        <v>77</v>
      </c>
      <c r="I221" s="1" t="s">
        <v>131</v>
      </c>
      <c r="J221" s="1" t="s">
        <v>21</v>
      </c>
      <c r="K221">
        <v>6500</v>
      </c>
      <c r="L221">
        <v>1186</v>
      </c>
      <c r="M221">
        <v>0</v>
      </c>
      <c r="N22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2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21" s="5">
        <v>19987645</v>
      </c>
      <c r="Q221" t="str">
        <f>IF(OR(digital_banking_transactions3[[#This Row],[Nominal_Bersih]]&lt;0,digital_banking_transactions3[[#This Row],[Nominal_Bersih]]=0),"Invalid","Valid")</f>
        <v>Valid</v>
      </c>
      <c r="R22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45522</v>
      </c>
      <c r="S221" s="1" t="str">
        <f>TEXT(digital_banking_transactions3[[#This Row],[Tanggal_Bersih]],"MMMM YYYY")</f>
        <v>August 2024</v>
      </c>
      <c r="T22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2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22" spans="1:21" x14ac:dyDescent="0.35">
      <c r="A222" s="1" t="s">
        <v>961</v>
      </c>
      <c r="B222" s="1" t="s">
        <v>962</v>
      </c>
      <c r="C222" s="1" t="s">
        <v>963</v>
      </c>
      <c r="D222" s="1" t="s">
        <v>93</v>
      </c>
      <c r="E222" s="1" t="s">
        <v>32</v>
      </c>
      <c r="F222" s="1" t="s">
        <v>964</v>
      </c>
      <c r="G222" s="1" t="s">
        <v>65</v>
      </c>
      <c r="H222" s="1" t="s">
        <v>42</v>
      </c>
      <c r="I222" s="1" t="s">
        <v>21</v>
      </c>
      <c r="J222" s="1" t="s">
        <v>71</v>
      </c>
      <c r="K222">
        <v>0</v>
      </c>
      <c r="L222">
        <v>4689</v>
      </c>
      <c r="M222">
        <v>1</v>
      </c>
      <c r="N22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2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22" s="5" t="s">
        <v>964</v>
      </c>
      <c r="Q222" t="str">
        <f>IF(OR(digital_banking_transactions3[[#This Row],[Nominal_Bersih]]&lt;0,digital_banking_transactions3[[#This Row],[Nominal_Bersih]]=0),"Invalid","Valid")</f>
        <v>Valid</v>
      </c>
      <c r="R22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45297</v>
      </c>
      <c r="S222" s="1" t="str">
        <f>TEXT(digital_banking_transactions3[[#This Row],[Tanggal_Bersih]],"MMMM YYYY")</f>
        <v>January 2024</v>
      </c>
      <c r="T22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2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23" spans="1:21" x14ac:dyDescent="0.35">
      <c r="A223" s="1" t="s">
        <v>965</v>
      </c>
      <c r="B223" s="1" t="s">
        <v>966</v>
      </c>
      <c r="C223" s="1" t="s">
        <v>967</v>
      </c>
      <c r="D223" s="1" t="s">
        <v>284</v>
      </c>
      <c r="E223" s="1" t="s">
        <v>94</v>
      </c>
      <c r="F223" s="1" t="s">
        <v>968</v>
      </c>
      <c r="G223" s="1" t="s">
        <v>126</v>
      </c>
      <c r="H223" s="1" t="s">
        <v>42</v>
      </c>
      <c r="I223" s="1" t="s">
        <v>21</v>
      </c>
      <c r="J223" s="1" t="s">
        <v>226</v>
      </c>
      <c r="K223">
        <v>1500</v>
      </c>
      <c r="L223">
        <v>4067</v>
      </c>
      <c r="M223">
        <v>0</v>
      </c>
      <c r="N22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2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23" s="5" t="s">
        <v>968</v>
      </c>
      <c r="Q223" t="str">
        <f>IF(OR(digital_banking_transactions3[[#This Row],[Nominal_Bersih]]&lt;0,digital_banking_transactions3[[#This Row],[Nominal_Bersih]]=0),"Invalid","Valid")</f>
        <v>Valid</v>
      </c>
      <c r="R22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45486</v>
      </c>
      <c r="S223" s="1" t="str">
        <f>TEXT(digital_banking_transactions3[[#This Row],[Tanggal_Bersih]],"MMMM YYYY")</f>
        <v>July 2024</v>
      </c>
      <c r="T22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2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24" spans="1:21" x14ac:dyDescent="0.35">
      <c r="A224" s="1" t="s">
        <v>969</v>
      </c>
      <c r="B224" s="1" t="s">
        <v>970</v>
      </c>
      <c r="C224" s="1" t="s">
        <v>971</v>
      </c>
      <c r="D224" s="1" t="s">
        <v>16</v>
      </c>
      <c r="E224" s="1" t="s">
        <v>32</v>
      </c>
      <c r="F224" s="1" t="s">
        <v>972</v>
      </c>
      <c r="G224" s="1" t="s">
        <v>65</v>
      </c>
      <c r="H224" s="1" t="s">
        <v>54</v>
      </c>
      <c r="I224" s="1" t="s">
        <v>21</v>
      </c>
      <c r="J224" s="1" t="s">
        <v>21</v>
      </c>
      <c r="K224">
        <v>0</v>
      </c>
      <c r="L224">
        <v>3294</v>
      </c>
      <c r="M224">
        <v>0</v>
      </c>
      <c r="N22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2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24" s="5" t="s">
        <v>972</v>
      </c>
      <c r="Q224" t="str">
        <f>IF(OR(digital_banking_transactions3[[#This Row],[Nominal_Bersih]]&lt;0,digital_banking_transactions3[[#This Row],[Nominal_Bersih]]=0),"Invalid","Valid")</f>
        <v>Valid</v>
      </c>
      <c r="R22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45462</v>
      </c>
      <c r="S224" s="1" t="str">
        <f>TEXT(digital_banking_transactions3[[#This Row],[Tanggal_Bersih]],"MMMM YYYY")</f>
        <v>June 2024</v>
      </c>
      <c r="T22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2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25" spans="1:21" x14ac:dyDescent="0.35">
      <c r="A225" s="1" t="s">
        <v>973</v>
      </c>
      <c r="B225" s="1" t="s">
        <v>974</v>
      </c>
      <c r="C225" s="1" t="s">
        <v>975</v>
      </c>
      <c r="D225" s="1" t="s">
        <v>25</v>
      </c>
      <c r="E225" s="1" t="s">
        <v>17</v>
      </c>
      <c r="F225" s="1" t="s">
        <v>976</v>
      </c>
      <c r="G225" s="1" t="s">
        <v>126</v>
      </c>
      <c r="H225" s="1" t="s">
        <v>20</v>
      </c>
      <c r="I225" s="1" t="s">
        <v>21</v>
      </c>
      <c r="J225" s="1" t="s">
        <v>79</v>
      </c>
      <c r="K225">
        <v>2500</v>
      </c>
      <c r="L225">
        <v>1345</v>
      </c>
      <c r="M225">
        <v>0</v>
      </c>
      <c r="N22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2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25" s="5" t="s">
        <v>976</v>
      </c>
      <c r="Q225" t="str">
        <f>IF(OR(digital_banking_transactions3[[#This Row],[Nominal_Bersih]]&lt;0,digital_banking_transactions3[[#This Row],[Nominal_Bersih]]=0),"Invalid","Valid")</f>
        <v>Valid</v>
      </c>
      <c r="R22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45522</v>
      </c>
      <c r="S225" s="1" t="str">
        <f>TEXT(digital_banking_transactions3[[#This Row],[Tanggal_Bersih]],"MMMM YYYY")</f>
        <v>August 2024</v>
      </c>
      <c r="T22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2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26" spans="1:21" x14ac:dyDescent="0.35">
      <c r="A226" s="1" t="s">
        <v>977</v>
      </c>
      <c r="B226" s="1" t="s">
        <v>978</v>
      </c>
      <c r="C226" s="1" t="s">
        <v>979</v>
      </c>
      <c r="D226" s="1" t="s">
        <v>135</v>
      </c>
      <c r="E226" s="1" t="s">
        <v>32</v>
      </c>
      <c r="F226" s="1" t="s">
        <v>980</v>
      </c>
      <c r="G226" s="1" t="s">
        <v>126</v>
      </c>
      <c r="H226" s="1" t="s">
        <v>77</v>
      </c>
      <c r="I226" s="1" t="s">
        <v>21</v>
      </c>
      <c r="J226" s="1" t="s">
        <v>71</v>
      </c>
      <c r="K226">
        <v>0</v>
      </c>
      <c r="L226">
        <v>67435</v>
      </c>
      <c r="M226">
        <v>1</v>
      </c>
      <c r="N22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2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26" s="5" t="s">
        <v>980</v>
      </c>
      <c r="Q226" t="str">
        <f>IF(OR(digital_banking_transactions3[[#This Row],[Nominal_Bersih]]&lt;0,digital_banking_transactions3[[#This Row],[Nominal_Bersih]]=0),"Invalid","Valid")</f>
        <v>Valid</v>
      </c>
      <c r="R22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45323</v>
      </c>
      <c r="S226" s="1" t="str">
        <f>TEXT(digital_banking_transactions3[[#This Row],[Tanggal_Bersih]],"MMMM YYYY")</f>
        <v>February 2024</v>
      </c>
      <c r="T22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2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227" spans="1:21" x14ac:dyDescent="0.35">
      <c r="A227" s="1" t="s">
        <v>981</v>
      </c>
      <c r="B227" s="1" t="s">
        <v>982</v>
      </c>
      <c r="C227" s="1" t="s">
        <v>983</v>
      </c>
      <c r="D227" s="1" t="s">
        <v>75</v>
      </c>
      <c r="E227" s="1" t="s">
        <v>39</v>
      </c>
      <c r="F227" s="1">
        <v>2431100</v>
      </c>
      <c r="G227" s="1" t="s">
        <v>381</v>
      </c>
      <c r="H227" s="1" t="s">
        <v>77</v>
      </c>
      <c r="I227" s="1" t="s">
        <v>21</v>
      </c>
      <c r="J227" s="1" t="s">
        <v>121</v>
      </c>
      <c r="K227">
        <v>7500</v>
      </c>
      <c r="L227">
        <v>1634</v>
      </c>
      <c r="M227">
        <v>0</v>
      </c>
      <c r="N22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2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27" s="5">
        <v>2431100</v>
      </c>
      <c r="Q227" t="str">
        <f>IF(OR(digital_banking_transactions3[[#This Row],[Nominal_Bersih]]&lt;0,digital_banking_transactions3[[#This Row],[Nominal_Bersih]]=0),"Invalid","Valid")</f>
        <v>Valid</v>
      </c>
      <c r="R22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45447</v>
      </c>
      <c r="S227" s="1" t="str">
        <f>TEXT(digital_banking_transactions3[[#This Row],[Tanggal_Bersih]],"MMMM YYYY")</f>
        <v>June 2024</v>
      </c>
      <c r="T22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2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28" spans="1:21" x14ac:dyDescent="0.35">
      <c r="A228" s="1" t="s">
        <v>985</v>
      </c>
      <c r="B228" s="1" t="s">
        <v>986</v>
      </c>
      <c r="C228" s="1" t="s">
        <v>987</v>
      </c>
      <c r="D228" s="1" t="s">
        <v>75</v>
      </c>
      <c r="E228" s="1" t="s">
        <v>17</v>
      </c>
      <c r="F228" s="1" t="s">
        <v>988</v>
      </c>
      <c r="G228" s="1" t="s">
        <v>126</v>
      </c>
      <c r="H228" s="1" t="s">
        <v>20</v>
      </c>
      <c r="I228" s="1" t="s">
        <v>21</v>
      </c>
      <c r="J228" s="1" t="s">
        <v>71</v>
      </c>
      <c r="K228">
        <v>2500</v>
      </c>
      <c r="L228">
        <v>3379</v>
      </c>
      <c r="M228">
        <v>0</v>
      </c>
      <c r="N22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2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28" s="5" t="s">
        <v>988</v>
      </c>
      <c r="Q228" t="str">
        <f>IF(OR(digital_banking_transactions3[[#This Row],[Nominal_Bersih]]&lt;0,digital_banking_transactions3[[#This Row],[Nominal_Bersih]]=0),"Invalid","Valid")</f>
        <v>Valid</v>
      </c>
      <c r="R22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45507</v>
      </c>
      <c r="S228" s="1" t="str">
        <f>TEXT(digital_banking_transactions3[[#This Row],[Tanggal_Bersih]],"MMMM YYYY")</f>
        <v>August 2024</v>
      </c>
      <c r="T22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2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29" spans="1:21" x14ac:dyDescent="0.35">
      <c r="A229" s="1" t="s">
        <v>989</v>
      </c>
      <c r="B229" s="1" t="s">
        <v>990</v>
      </c>
      <c r="C229" s="1" t="s">
        <v>991</v>
      </c>
      <c r="D229" s="1" t="s">
        <v>16</v>
      </c>
      <c r="E229" s="1" t="s">
        <v>17</v>
      </c>
      <c r="F229" s="1" t="s">
        <v>992</v>
      </c>
      <c r="G229" s="1" t="s">
        <v>126</v>
      </c>
      <c r="H229" s="1" t="s">
        <v>54</v>
      </c>
      <c r="I229" s="1" t="s">
        <v>21</v>
      </c>
      <c r="J229" s="1" t="s">
        <v>21</v>
      </c>
      <c r="K229">
        <v>2500</v>
      </c>
      <c r="L229">
        <v>4127</v>
      </c>
      <c r="M229">
        <v>0</v>
      </c>
      <c r="N22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2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29" s="5" t="s">
        <v>992</v>
      </c>
      <c r="Q229" t="str">
        <f>IF(OR(digital_banking_transactions3[[#This Row],[Nominal_Bersih]]&lt;0,digital_banking_transactions3[[#This Row],[Nominal_Bersih]]=0),"Invalid","Valid")</f>
        <v>Valid</v>
      </c>
      <c r="R22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45654</v>
      </c>
      <c r="S229" s="1" t="str">
        <f>TEXT(digital_banking_transactions3[[#This Row],[Tanggal_Bersih]],"MMMM YYYY")</f>
        <v>December 2024</v>
      </c>
      <c r="T22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2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30" spans="1:21" x14ac:dyDescent="0.35">
      <c r="A230" s="1" t="s">
        <v>993</v>
      </c>
      <c r="B230" s="1" t="s">
        <v>634</v>
      </c>
      <c r="C230" s="1" t="s">
        <v>994</v>
      </c>
      <c r="D230" s="1" t="s">
        <v>16</v>
      </c>
      <c r="E230" s="1" t="s">
        <v>17</v>
      </c>
      <c r="F230" s="1" t="s">
        <v>995</v>
      </c>
      <c r="G230" s="1" t="s">
        <v>126</v>
      </c>
      <c r="H230" s="1" t="s">
        <v>42</v>
      </c>
      <c r="I230" s="1" t="s">
        <v>21</v>
      </c>
      <c r="J230" s="1" t="s">
        <v>21</v>
      </c>
      <c r="K230">
        <v>2500</v>
      </c>
      <c r="L230">
        <v>4228</v>
      </c>
      <c r="M230">
        <v>0</v>
      </c>
      <c r="N23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3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30" s="5" t="s">
        <v>995</v>
      </c>
      <c r="Q230" t="str">
        <f>IF(OR(digital_banking_transactions3[[#This Row],[Nominal_Bersih]]&lt;0,digital_banking_transactions3[[#This Row],[Nominal_Bersih]]=0),"Invalid","Valid")</f>
        <v>Valid</v>
      </c>
      <c r="R23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45608</v>
      </c>
      <c r="S230" s="1" t="str">
        <f>TEXT(digital_banking_transactions3[[#This Row],[Tanggal_Bersih]],"MMMM YYYY")</f>
        <v>November 2024</v>
      </c>
      <c r="T23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3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31" spans="1:21" x14ac:dyDescent="0.35">
      <c r="A231" s="1" t="s">
        <v>996</v>
      </c>
      <c r="B231" s="1" t="s">
        <v>997</v>
      </c>
      <c r="C231" s="1" t="s">
        <v>998</v>
      </c>
      <c r="D231" s="1" t="s">
        <v>58</v>
      </c>
      <c r="E231" s="1" t="s">
        <v>17</v>
      </c>
      <c r="F231" s="1" t="s">
        <v>999</v>
      </c>
      <c r="G231" s="1" t="s">
        <v>65</v>
      </c>
      <c r="H231" s="1" t="s">
        <v>35</v>
      </c>
      <c r="I231" s="1" t="s">
        <v>21</v>
      </c>
      <c r="J231" s="1" t="s">
        <v>21</v>
      </c>
      <c r="K231">
        <v>2500</v>
      </c>
      <c r="L231">
        <v>79716</v>
      </c>
      <c r="M231">
        <v>1</v>
      </c>
      <c r="N23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3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31" s="5" t="s">
        <v>999</v>
      </c>
      <c r="Q231" t="str">
        <f>IF(OR(digital_banking_transactions3[[#This Row],[Nominal_Bersih]]&lt;0,digital_banking_transactions3[[#This Row],[Nominal_Bersih]]=0),"Invalid","Valid")</f>
        <v>Valid</v>
      </c>
      <c r="R23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45535</v>
      </c>
      <c r="S231" s="1" t="str">
        <f>TEXT(digital_banking_transactions3[[#This Row],[Tanggal_Bersih]],"MMMM YYYY")</f>
        <v>August 2024</v>
      </c>
      <c r="T23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3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232" spans="1:21" x14ac:dyDescent="0.35">
      <c r="A232" s="1" t="s">
        <v>1000</v>
      </c>
      <c r="B232" s="1" t="s">
        <v>1001</v>
      </c>
      <c r="C232" s="1" t="s">
        <v>1002</v>
      </c>
      <c r="D232" s="1" t="s">
        <v>16</v>
      </c>
      <c r="E232" s="1" t="s">
        <v>39</v>
      </c>
      <c r="F232" s="1">
        <v>986078</v>
      </c>
      <c r="G232" s="1" t="s">
        <v>126</v>
      </c>
      <c r="H232" s="1" t="s">
        <v>35</v>
      </c>
      <c r="I232" s="1" t="s">
        <v>21</v>
      </c>
      <c r="J232" s="1" t="s">
        <v>21</v>
      </c>
      <c r="K232">
        <v>7500</v>
      </c>
      <c r="L232">
        <v>1341</v>
      </c>
      <c r="M232">
        <v>0</v>
      </c>
      <c r="N23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3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32" s="5">
        <v>986078</v>
      </c>
      <c r="Q232" t="str">
        <f>IF(OR(digital_banking_transactions3[[#This Row],[Nominal_Bersih]]&lt;0,digital_banking_transactions3[[#This Row],[Nominal_Bersih]]=0),"Invalid","Valid")</f>
        <v>Valid</v>
      </c>
      <c r="R23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45504</v>
      </c>
      <c r="S232" s="1" t="str">
        <f>TEXT(digital_banking_transactions3[[#This Row],[Tanggal_Bersih]],"MMMM YYYY")</f>
        <v>July 2024</v>
      </c>
      <c r="T23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3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33" spans="1:21" x14ac:dyDescent="0.35">
      <c r="A233" s="1" t="s">
        <v>1007</v>
      </c>
      <c r="B233" s="1" t="s">
        <v>1008</v>
      </c>
      <c r="C233" s="1" t="s">
        <v>1009</v>
      </c>
      <c r="D233" s="1" t="s">
        <v>25</v>
      </c>
      <c r="E233" s="1" t="s">
        <v>39</v>
      </c>
      <c r="F233" s="4">
        <v>2576816</v>
      </c>
      <c r="G233" s="1" t="s">
        <v>126</v>
      </c>
      <c r="H233" s="1" t="s">
        <v>77</v>
      </c>
      <c r="I233" s="1" t="s">
        <v>21</v>
      </c>
      <c r="J233" s="1" t="s">
        <v>121</v>
      </c>
      <c r="K233">
        <v>7500</v>
      </c>
      <c r="L233">
        <v>3541</v>
      </c>
      <c r="M233">
        <v>0</v>
      </c>
      <c r="N23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3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33" s="5">
        <v>2576816</v>
      </c>
      <c r="Q233" t="str">
        <f>IF(OR(digital_banking_transactions3[[#This Row],[Nominal_Bersih]]&lt;0,digital_banking_transactions3[[#This Row],[Nominal_Bersih]]=0),"Invalid","Valid")</f>
        <v>Valid</v>
      </c>
      <c r="R23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45536</v>
      </c>
      <c r="S233" s="1" t="str">
        <f>TEXT(digital_banking_transactions3[[#This Row],[Tanggal_Bersih]],"MMMM YYYY")</f>
        <v>September 2024</v>
      </c>
      <c r="T23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3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34" spans="1:21" x14ac:dyDescent="0.35">
      <c r="A234" s="1" t="s">
        <v>1012</v>
      </c>
      <c r="B234" s="1" t="s">
        <v>1013</v>
      </c>
      <c r="C234" s="1" t="s">
        <v>1014</v>
      </c>
      <c r="D234" s="1" t="s">
        <v>16</v>
      </c>
      <c r="E234" s="1" t="s">
        <v>52</v>
      </c>
      <c r="F234" s="1" t="s">
        <v>1015</v>
      </c>
      <c r="G234" s="1" t="s">
        <v>126</v>
      </c>
      <c r="H234" s="1" t="s">
        <v>96</v>
      </c>
      <c r="I234" s="1" t="s">
        <v>66</v>
      </c>
      <c r="J234" s="1" t="s">
        <v>21</v>
      </c>
      <c r="K234">
        <v>6500</v>
      </c>
      <c r="L234">
        <v>3575</v>
      </c>
      <c r="M234">
        <v>0</v>
      </c>
      <c r="N23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3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34" s="5" t="s">
        <v>1015</v>
      </c>
      <c r="Q234" t="str">
        <f>IF(OR(digital_banking_transactions3[[#This Row],[Nominal_Bersih]]&lt;0,digital_banking_transactions3[[#This Row],[Nominal_Bersih]]=0),"Invalid","Valid")</f>
        <v>Valid</v>
      </c>
      <c r="R23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45351</v>
      </c>
      <c r="S234" s="1" t="str">
        <f>TEXT(digital_banking_transactions3[[#This Row],[Tanggal_Bersih]],"MMMM YYYY")</f>
        <v>February 2024</v>
      </c>
      <c r="T23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3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35" spans="1:21" x14ac:dyDescent="0.35">
      <c r="A235" s="1" t="s">
        <v>1016</v>
      </c>
      <c r="B235" s="1" t="s">
        <v>1017</v>
      </c>
      <c r="C235" s="1" t="s">
        <v>1018</v>
      </c>
      <c r="D235" s="1" t="s">
        <v>110</v>
      </c>
      <c r="E235" s="1" t="s">
        <v>32</v>
      </c>
      <c r="F235" s="1" t="s">
        <v>1019</v>
      </c>
      <c r="G235" s="1" t="s">
        <v>41</v>
      </c>
      <c r="H235" s="1" t="s">
        <v>20</v>
      </c>
      <c r="I235" s="1" t="s">
        <v>21</v>
      </c>
      <c r="J235" s="1" t="s">
        <v>21</v>
      </c>
      <c r="K235">
        <v>0</v>
      </c>
      <c r="L235">
        <v>609</v>
      </c>
      <c r="M235">
        <v>0</v>
      </c>
      <c r="N23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3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35" s="5" t="s">
        <v>1019</v>
      </c>
      <c r="Q235" t="str">
        <f>IF(OR(digital_banking_transactions3[[#This Row],[Nominal_Bersih]]&lt;0,digital_banking_transactions3[[#This Row],[Nominal_Bersih]]=0),"Invalid","Valid")</f>
        <v>Valid</v>
      </c>
      <c r="R23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45464</v>
      </c>
      <c r="S235" s="1" t="str">
        <f>TEXT(digital_banking_transactions3[[#This Row],[Tanggal_Bersih]],"MMMM YYYY")</f>
        <v>June 2024</v>
      </c>
      <c r="T23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3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36" spans="1:21" x14ac:dyDescent="0.35">
      <c r="A236" s="1" t="s">
        <v>1020</v>
      </c>
      <c r="B236" s="1" t="s">
        <v>1021</v>
      </c>
      <c r="C236" s="1" t="s">
        <v>1022</v>
      </c>
      <c r="D236" s="1" t="s">
        <v>75</v>
      </c>
      <c r="E236" s="1" t="s">
        <v>52</v>
      </c>
      <c r="F236" s="1" t="s">
        <v>1023</v>
      </c>
      <c r="G236" s="1" t="s">
        <v>126</v>
      </c>
      <c r="H236" s="1" t="s">
        <v>54</v>
      </c>
      <c r="I236" s="1" t="s">
        <v>1024</v>
      </c>
      <c r="J236" s="1" t="s">
        <v>71</v>
      </c>
      <c r="K236">
        <v>6500</v>
      </c>
      <c r="L236">
        <v>4240</v>
      </c>
      <c r="M236">
        <v>0</v>
      </c>
      <c r="N23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3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36" s="5" t="s">
        <v>1023</v>
      </c>
      <c r="Q236" t="str">
        <f>IF(OR(digital_banking_transactions3[[#This Row],[Nominal_Bersih]]&lt;0,digital_banking_transactions3[[#This Row],[Nominal_Bersih]]=0),"Invalid","Valid")</f>
        <v>Valid</v>
      </c>
      <c r="R23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45633</v>
      </c>
      <c r="S236" s="1" t="str">
        <f>TEXT(digital_banking_transactions3[[#This Row],[Tanggal_Bersih]],"MMMM YYYY")</f>
        <v>December 2024</v>
      </c>
      <c r="T23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3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37" spans="1:21" x14ac:dyDescent="0.35">
      <c r="A237" s="1" t="s">
        <v>1025</v>
      </c>
      <c r="B237" s="1" t="s">
        <v>1026</v>
      </c>
      <c r="C237" s="1" t="s">
        <v>1027</v>
      </c>
      <c r="D237" s="1" t="s">
        <v>75</v>
      </c>
      <c r="E237" s="1" t="s">
        <v>94</v>
      </c>
      <c r="F237" s="1">
        <v>344976</v>
      </c>
      <c r="G237" s="1" t="s">
        <v>126</v>
      </c>
      <c r="H237" s="1" t="s">
        <v>42</v>
      </c>
      <c r="I237" s="1" t="s">
        <v>21</v>
      </c>
      <c r="J237" s="1" t="s">
        <v>121</v>
      </c>
      <c r="K237">
        <v>1500</v>
      </c>
      <c r="L237">
        <v>83331</v>
      </c>
      <c r="M237">
        <v>0</v>
      </c>
      <c r="N23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3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37" s="5">
        <v>344976</v>
      </c>
      <c r="Q237" t="str">
        <f>IF(OR(digital_banking_transactions3[[#This Row],[Nominal_Bersih]]&lt;0,digital_banking_transactions3[[#This Row],[Nominal_Bersih]]=0),"Invalid","Valid")</f>
        <v>Valid</v>
      </c>
      <c r="R23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45637</v>
      </c>
      <c r="S237" s="1" t="str">
        <f>TEXT(digital_banking_transactions3[[#This Row],[Tanggal_Bersih]],"MMMM YYYY")</f>
        <v>December 2024</v>
      </c>
      <c r="T23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3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238" spans="1:21" x14ac:dyDescent="0.35">
      <c r="A238" s="1" t="s">
        <v>1029</v>
      </c>
      <c r="B238" s="1" t="s">
        <v>507</v>
      </c>
      <c r="C238" s="1" t="s">
        <v>1030</v>
      </c>
      <c r="D238" s="1" t="s">
        <v>16</v>
      </c>
      <c r="E238" s="1" t="s">
        <v>17</v>
      </c>
      <c r="F238" s="1">
        <v>550689</v>
      </c>
      <c r="G238" s="1" t="s">
        <v>126</v>
      </c>
      <c r="H238" s="1" t="s">
        <v>60</v>
      </c>
      <c r="I238" s="1" t="s">
        <v>21</v>
      </c>
      <c r="J238" s="1" t="s">
        <v>21</v>
      </c>
      <c r="K238">
        <v>2500</v>
      </c>
      <c r="L238">
        <v>2135</v>
      </c>
      <c r="M238">
        <v>0</v>
      </c>
      <c r="N23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3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38" s="5">
        <v>550689</v>
      </c>
      <c r="Q238" t="str">
        <f>IF(OR(digital_banking_transactions3[[#This Row],[Nominal_Bersih]]&lt;0,digital_banking_transactions3[[#This Row],[Nominal_Bersih]]=0),"Invalid","Valid")</f>
        <v>Valid</v>
      </c>
      <c r="R23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45643</v>
      </c>
      <c r="S238" s="1" t="str">
        <f>TEXT(digital_banking_transactions3[[#This Row],[Tanggal_Bersih]],"MMMM YYYY")</f>
        <v>December 2024</v>
      </c>
      <c r="T23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3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39" spans="1:21" x14ac:dyDescent="0.35">
      <c r="A239" s="1" t="s">
        <v>1032</v>
      </c>
      <c r="B239" s="1" t="s">
        <v>866</v>
      </c>
      <c r="C239" s="1" t="s">
        <v>1033</v>
      </c>
      <c r="D239" s="1" t="s">
        <v>25</v>
      </c>
      <c r="E239" s="1" t="s">
        <v>94</v>
      </c>
      <c r="F239" s="1" t="s">
        <v>1034</v>
      </c>
      <c r="G239" s="1" t="s">
        <v>34</v>
      </c>
      <c r="H239" s="1" t="s">
        <v>77</v>
      </c>
      <c r="I239" s="1" t="s">
        <v>21</v>
      </c>
      <c r="J239" s="1" t="s">
        <v>79</v>
      </c>
      <c r="K239">
        <v>1500</v>
      </c>
      <c r="L239">
        <v>3783</v>
      </c>
      <c r="M239">
        <v>0</v>
      </c>
      <c r="N23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3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39" s="5" t="s">
        <v>1034</v>
      </c>
      <c r="Q239" t="str">
        <f>IF(OR(digital_banking_transactions3[[#This Row],[Nominal_Bersih]]&lt;0,digital_banking_transactions3[[#This Row],[Nominal_Bersih]]=0),"Invalid","Valid")</f>
        <v>Valid</v>
      </c>
      <c r="R23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45300</v>
      </c>
      <c r="S239" s="1" t="str">
        <f>TEXT(digital_banking_transactions3[[#This Row],[Tanggal_Bersih]],"MMMM YYYY")</f>
        <v>January 2024</v>
      </c>
      <c r="T23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3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40" spans="1:21" x14ac:dyDescent="0.35">
      <c r="A240" s="1" t="s">
        <v>1035</v>
      </c>
      <c r="B240" s="1" t="s">
        <v>1036</v>
      </c>
      <c r="C240" s="1" t="s">
        <v>1037</v>
      </c>
      <c r="D240" s="1" t="s">
        <v>546</v>
      </c>
      <c r="E240" s="1" t="s">
        <v>32</v>
      </c>
      <c r="F240" s="1">
        <v>2544743</v>
      </c>
      <c r="G240" s="1" t="s">
        <v>126</v>
      </c>
      <c r="H240" s="1" t="s">
        <v>96</v>
      </c>
      <c r="I240" s="1" t="s">
        <v>21</v>
      </c>
      <c r="J240" s="1" t="s">
        <v>71</v>
      </c>
      <c r="K240">
        <v>0</v>
      </c>
      <c r="L240">
        <v>3535</v>
      </c>
      <c r="M240">
        <v>1</v>
      </c>
      <c r="N24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4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40" s="5">
        <v>2544743</v>
      </c>
      <c r="Q240" t="str">
        <f>IF(OR(digital_banking_transactions3[[#This Row],[Nominal_Bersih]]&lt;0,digital_banking_transactions3[[#This Row],[Nominal_Bersih]]=0),"Invalid","Valid")</f>
        <v>Valid</v>
      </c>
      <c r="R24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45513</v>
      </c>
      <c r="S240" s="1" t="str">
        <f>TEXT(digital_banking_transactions3[[#This Row],[Tanggal_Bersih]],"MMMM YYYY")</f>
        <v>August 2024</v>
      </c>
      <c r="T24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4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41" spans="1:21" x14ac:dyDescent="0.35">
      <c r="A241" s="1" t="s">
        <v>1039</v>
      </c>
      <c r="B241" s="1" t="s">
        <v>1040</v>
      </c>
      <c r="C241" s="1" t="s">
        <v>1041</v>
      </c>
      <c r="D241" s="1" t="s">
        <v>16</v>
      </c>
      <c r="E241" s="1" t="s">
        <v>39</v>
      </c>
      <c r="F241" s="1" t="s">
        <v>1042</v>
      </c>
      <c r="G241" s="1" t="s">
        <v>264</v>
      </c>
      <c r="H241" s="1" t="s">
        <v>60</v>
      </c>
      <c r="I241" s="1" t="s">
        <v>21</v>
      </c>
      <c r="J241" s="1" t="s">
        <v>21</v>
      </c>
      <c r="K241">
        <v>7500</v>
      </c>
      <c r="L241">
        <v>994</v>
      </c>
      <c r="M241">
        <v>1</v>
      </c>
      <c r="N24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4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41" s="5" t="s">
        <v>1042</v>
      </c>
      <c r="Q241" t="str">
        <f>IF(OR(digital_banking_transactions3[[#This Row],[Nominal_Bersih]]&lt;0,digital_banking_transactions3[[#This Row],[Nominal_Bersih]]=0),"Invalid","Valid")</f>
        <v>Valid</v>
      </c>
      <c r="R24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45319</v>
      </c>
      <c r="S241" s="1" t="str">
        <f>TEXT(digital_banking_transactions3[[#This Row],[Tanggal_Bersih]],"MMMM YYYY")</f>
        <v>January 2024</v>
      </c>
      <c r="T24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4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42" spans="1:21" x14ac:dyDescent="0.35">
      <c r="A242" s="1" t="s">
        <v>1043</v>
      </c>
      <c r="B242" s="1" t="s">
        <v>1044</v>
      </c>
      <c r="C242" s="1" t="s">
        <v>1045</v>
      </c>
      <c r="D242" s="1" t="s">
        <v>25</v>
      </c>
      <c r="E242" s="1" t="s">
        <v>39</v>
      </c>
      <c r="F242" s="1" t="s">
        <v>1046</v>
      </c>
      <c r="G242" s="1" t="s">
        <v>264</v>
      </c>
      <c r="H242" s="1" t="s">
        <v>42</v>
      </c>
      <c r="I242" s="1" t="s">
        <v>21</v>
      </c>
      <c r="J242" s="1" t="s">
        <v>21</v>
      </c>
      <c r="L242">
        <v>2400</v>
      </c>
      <c r="M242">
        <v>0</v>
      </c>
      <c r="N24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4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42" s="5" t="s">
        <v>1046</v>
      </c>
      <c r="Q242" t="str">
        <f>IF(OR(digital_banking_transactions3[[#This Row],[Nominal_Bersih]]&lt;0,digital_banking_transactions3[[#This Row],[Nominal_Bersih]]=0),"Invalid","Valid")</f>
        <v>Valid</v>
      </c>
      <c r="R24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45397</v>
      </c>
      <c r="S242" s="1" t="str">
        <f>TEXT(digital_banking_transactions3[[#This Row],[Tanggal_Bersih]],"MMMM YYYY")</f>
        <v>April 2024</v>
      </c>
      <c r="T24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4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43" spans="1:21" x14ac:dyDescent="0.35">
      <c r="A243" s="1" t="s">
        <v>1047</v>
      </c>
      <c r="B243" s="1" t="s">
        <v>1048</v>
      </c>
      <c r="C243" s="1" t="s">
        <v>1049</v>
      </c>
      <c r="D243" s="1" t="s">
        <v>58</v>
      </c>
      <c r="E243" s="1" t="s">
        <v>52</v>
      </c>
      <c r="F243" s="1" t="s">
        <v>1050</v>
      </c>
      <c r="G243" s="1" t="s">
        <v>19</v>
      </c>
      <c r="H243" s="1" t="s">
        <v>77</v>
      </c>
      <c r="I243" s="1" t="s">
        <v>138</v>
      </c>
      <c r="J243" s="1" t="s">
        <v>21</v>
      </c>
      <c r="K243">
        <v>6500</v>
      </c>
      <c r="L243">
        <v>885</v>
      </c>
      <c r="M243">
        <v>0</v>
      </c>
      <c r="N24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4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43" s="5" t="s">
        <v>1050</v>
      </c>
      <c r="Q243" t="str">
        <f>IF(OR(digital_banking_transactions3[[#This Row],[Nominal_Bersih]]&lt;0,digital_banking_transactions3[[#This Row],[Nominal_Bersih]]=0),"Invalid","Valid")</f>
        <v>Valid</v>
      </c>
      <c r="R24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45434</v>
      </c>
      <c r="S243" s="1" t="str">
        <f>TEXT(digital_banking_transactions3[[#This Row],[Tanggal_Bersih]],"MMMM YYYY")</f>
        <v>May 2024</v>
      </c>
      <c r="T24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4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44" spans="1:21" x14ac:dyDescent="0.35">
      <c r="A244" s="1" t="s">
        <v>1051</v>
      </c>
      <c r="B244" s="1" t="s">
        <v>1052</v>
      </c>
      <c r="C244" s="1" t="s">
        <v>1053</v>
      </c>
      <c r="D244" s="1" t="s">
        <v>16</v>
      </c>
      <c r="E244" s="1" t="s">
        <v>94</v>
      </c>
      <c r="F244" s="1">
        <v>4815228900</v>
      </c>
      <c r="G244" s="1" t="s">
        <v>126</v>
      </c>
      <c r="H244" s="1" t="s">
        <v>96</v>
      </c>
      <c r="I244" s="1" t="s">
        <v>21</v>
      </c>
      <c r="J244" s="1" t="s">
        <v>21</v>
      </c>
      <c r="K244">
        <v>1500</v>
      </c>
      <c r="L244">
        <v>561</v>
      </c>
      <c r="M244">
        <v>0</v>
      </c>
      <c r="N24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4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44" s="5">
        <v>4815228900</v>
      </c>
      <c r="Q244" t="str">
        <f>IF(OR(digital_banking_transactions3[[#This Row],[Nominal_Bersih]]&lt;0,digital_banking_transactions3[[#This Row],[Nominal_Bersih]]=0),"Invalid","Valid")</f>
        <v>Valid</v>
      </c>
      <c r="R24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45401</v>
      </c>
      <c r="S244" s="1" t="str">
        <f>TEXT(digital_banking_transactions3[[#This Row],[Tanggal_Bersih]],"MMMM YYYY")</f>
        <v>April 2024</v>
      </c>
      <c r="T24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4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45" spans="1:21" x14ac:dyDescent="0.35">
      <c r="A245" s="1" t="s">
        <v>1055</v>
      </c>
      <c r="B245" s="1" t="s">
        <v>1056</v>
      </c>
      <c r="C245" s="1" t="s">
        <v>1057</v>
      </c>
      <c r="D245" s="1" t="s">
        <v>75</v>
      </c>
      <c r="E245" s="1" t="s">
        <v>17</v>
      </c>
      <c r="F245" s="1" t="s">
        <v>1058</v>
      </c>
      <c r="G245" s="1" t="s">
        <v>126</v>
      </c>
      <c r="H245" s="1" t="s">
        <v>77</v>
      </c>
      <c r="I245" s="1" t="s">
        <v>21</v>
      </c>
      <c r="J245" s="1" t="s">
        <v>79</v>
      </c>
      <c r="K245">
        <v>2500</v>
      </c>
      <c r="L245">
        <v>2963</v>
      </c>
      <c r="M245">
        <v>0</v>
      </c>
      <c r="N24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4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45" s="5" t="s">
        <v>1058</v>
      </c>
      <c r="Q245" t="str">
        <f>IF(OR(digital_banking_transactions3[[#This Row],[Nominal_Bersih]]&lt;0,digital_banking_transactions3[[#This Row],[Nominal_Bersih]]=0),"Invalid","Valid")</f>
        <v>Valid</v>
      </c>
      <c r="R24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45316</v>
      </c>
      <c r="S245" s="1" t="str">
        <f>TEXT(digital_banking_transactions3[[#This Row],[Tanggal_Bersih]],"MMMM YYYY")</f>
        <v>January 2024</v>
      </c>
      <c r="T24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4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46" spans="1:21" x14ac:dyDescent="0.35">
      <c r="A246" s="1" t="s">
        <v>1059</v>
      </c>
      <c r="B246" s="1" t="s">
        <v>1060</v>
      </c>
      <c r="C246" s="1" t="s">
        <v>1061</v>
      </c>
      <c r="D246" s="1" t="s">
        <v>75</v>
      </c>
      <c r="E246" s="1" t="s">
        <v>17</v>
      </c>
      <c r="F246" s="1">
        <v>28172259</v>
      </c>
      <c r="G246" s="1" t="s">
        <v>41</v>
      </c>
      <c r="H246" s="1" t="s">
        <v>42</v>
      </c>
      <c r="I246" s="1" t="s">
        <v>21</v>
      </c>
      <c r="J246" s="1" t="s">
        <v>79</v>
      </c>
      <c r="K246">
        <v>2500</v>
      </c>
      <c r="L246">
        <v>4573</v>
      </c>
      <c r="M246">
        <v>0</v>
      </c>
      <c r="N24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4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46" s="5">
        <v>28172259</v>
      </c>
      <c r="Q246" t="str">
        <f>IF(OR(digital_banking_transactions3[[#This Row],[Nominal_Bersih]]&lt;0,digital_banking_transactions3[[#This Row],[Nominal_Bersih]]=0),"Invalid","Valid")</f>
        <v>Valid</v>
      </c>
      <c r="R24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45651</v>
      </c>
      <c r="S246" s="1" t="str">
        <f>TEXT(digital_banking_transactions3[[#This Row],[Tanggal_Bersih]],"MMMM YYYY")</f>
        <v>December 2024</v>
      </c>
      <c r="T24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4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47" spans="1:21" x14ac:dyDescent="0.35">
      <c r="A247" s="1" t="s">
        <v>1063</v>
      </c>
      <c r="B247" s="1" t="s">
        <v>1064</v>
      </c>
      <c r="C247" s="1" t="s">
        <v>1065</v>
      </c>
      <c r="D247" s="1" t="s">
        <v>58</v>
      </c>
      <c r="E247" s="1" t="s">
        <v>52</v>
      </c>
      <c r="F247" s="4">
        <v>18400647</v>
      </c>
      <c r="G247" s="1" t="s">
        <v>126</v>
      </c>
      <c r="H247" s="1" t="s">
        <v>106</v>
      </c>
      <c r="I247" s="1" t="s">
        <v>78</v>
      </c>
      <c r="J247" s="1" t="s">
        <v>21</v>
      </c>
      <c r="K247">
        <v>6500</v>
      </c>
      <c r="L247">
        <v>2918</v>
      </c>
      <c r="M247">
        <v>0</v>
      </c>
      <c r="N24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4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47" s="5">
        <v>18400647</v>
      </c>
      <c r="Q247" t="str">
        <f>IF(OR(digital_banking_transactions3[[#This Row],[Nominal_Bersih]]&lt;0,digital_banking_transactions3[[#This Row],[Nominal_Bersih]]=0),"Invalid","Valid")</f>
        <v>Valid</v>
      </c>
      <c r="R24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45448</v>
      </c>
      <c r="S247" s="1" t="str">
        <f>TEXT(digital_banking_transactions3[[#This Row],[Tanggal_Bersih]],"MMMM YYYY")</f>
        <v>June 2024</v>
      </c>
      <c r="T24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4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48" spans="1:21" x14ac:dyDescent="0.35">
      <c r="A248" s="1" t="s">
        <v>1067</v>
      </c>
      <c r="B248" s="1" t="s">
        <v>1068</v>
      </c>
      <c r="C248" s="1" t="s">
        <v>1069</v>
      </c>
      <c r="D248" s="1" t="s">
        <v>75</v>
      </c>
      <c r="E248" s="1" t="s">
        <v>94</v>
      </c>
      <c r="F248" s="1" t="s">
        <v>1070</v>
      </c>
      <c r="G248" s="1" t="s">
        <v>27</v>
      </c>
      <c r="H248" s="1" t="s">
        <v>60</v>
      </c>
      <c r="I248" s="1" t="s">
        <v>21</v>
      </c>
      <c r="J248" s="1" t="s">
        <v>226</v>
      </c>
      <c r="K248">
        <v>1500</v>
      </c>
      <c r="L248">
        <v>974</v>
      </c>
      <c r="M248">
        <v>0</v>
      </c>
      <c r="N24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4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48" s="5" t="s">
        <v>1070</v>
      </c>
      <c r="Q248" t="str">
        <f>IF(OR(digital_banking_transactions3[[#This Row],[Nominal_Bersih]]&lt;0,digital_banking_transactions3[[#This Row],[Nominal_Bersih]]=0),"Invalid","Valid")</f>
        <v>Valid</v>
      </c>
      <c r="R24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45352</v>
      </c>
      <c r="S248" s="1" t="str">
        <f>TEXT(digital_banking_transactions3[[#This Row],[Tanggal_Bersih]],"MMMM YYYY")</f>
        <v>March 2024</v>
      </c>
      <c r="T24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4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49" spans="1:21" x14ac:dyDescent="0.35">
      <c r="A249" s="1" t="s">
        <v>1071</v>
      </c>
      <c r="B249" s="1" t="s">
        <v>1072</v>
      </c>
      <c r="C249" s="1" t="s">
        <v>1073</v>
      </c>
      <c r="D249" s="1" t="s">
        <v>16</v>
      </c>
      <c r="E249" s="1" t="s">
        <v>52</v>
      </c>
      <c r="F249" s="1" t="s">
        <v>1074</v>
      </c>
      <c r="G249" s="1" t="s">
        <v>41</v>
      </c>
      <c r="H249" s="1" t="s">
        <v>42</v>
      </c>
      <c r="I249" s="1" t="s">
        <v>112</v>
      </c>
      <c r="J249" s="1" t="s">
        <v>21</v>
      </c>
      <c r="K249">
        <v>6500</v>
      </c>
      <c r="L249">
        <v>1989</v>
      </c>
      <c r="M249">
        <v>1</v>
      </c>
      <c r="N24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4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49" s="5" t="s">
        <v>1074</v>
      </c>
      <c r="Q249" t="str">
        <f>IF(OR(digital_banking_transactions3[[#This Row],[Nominal_Bersih]]&lt;0,digital_banking_transactions3[[#This Row],[Nominal_Bersih]]=0),"Invalid","Valid")</f>
        <v>Valid</v>
      </c>
      <c r="R24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45633</v>
      </c>
      <c r="S249" s="1" t="str">
        <f>TEXT(digital_banking_transactions3[[#This Row],[Tanggal_Bersih]],"MMMM YYYY")</f>
        <v>December 2024</v>
      </c>
      <c r="T24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4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50" spans="1:21" x14ac:dyDescent="0.35">
      <c r="A250" s="1" t="s">
        <v>1075</v>
      </c>
      <c r="B250" s="1" t="s">
        <v>1076</v>
      </c>
      <c r="C250" s="1" t="s">
        <v>1077</v>
      </c>
      <c r="D250" s="1" t="s">
        <v>25</v>
      </c>
      <c r="E250" s="1" t="s">
        <v>52</v>
      </c>
      <c r="F250" s="1" t="s">
        <v>1078</v>
      </c>
      <c r="G250" s="1" t="s">
        <v>41</v>
      </c>
      <c r="H250" s="1" t="s">
        <v>96</v>
      </c>
      <c r="I250" s="1" t="s">
        <v>291</v>
      </c>
      <c r="J250" s="1" t="s">
        <v>286</v>
      </c>
      <c r="K250">
        <v>6500</v>
      </c>
      <c r="L250">
        <v>855</v>
      </c>
      <c r="M250">
        <v>0</v>
      </c>
      <c r="N25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5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50" s="5" t="s">
        <v>1078</v>
      </c>
      <c r="Q250" t="str">
        <f>IF(OR(digital_banking_transactions3[[#This Row],[Nominal_Bersih]]&lt;0,digital_banking_transactions3[[#This Row],[Nominal_Bersih]]=0),"Invalid","Valid")</f>
        <v>Valid</v>
      </c>
      <c r="R25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45501</v>
      </c>
      <c r="S250" s="1" t="str">
        <f>TEXT(digital_banking_transactions3[[#This Row],[Tanggal_Bersih]],"MMMM YYYY")</f>
        <v>July 2024</v>
      </c>
      <c r="T25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5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51" spans="1:21" x14ac:dyDescent="0.35">
      <c r="A251" s="1" t="s">
        <v>1079</v>
      </c>
      <c r="B251" s="1" t="s">
        <v>1080</v>
      </c>
      <c r="C251" s="1" t="s">
        <v>1081</v>
      </c>
      <c r="D251" s="1" t="s">
        <v>284</v>
      </c>
      <c r="E251" s="1" t="s">
        <v>39</v>
      </c>
      <c r="F251" s="1">
        <v>1673820</v>
      </c>
      <c r="G251" s="1" t="s">
        <v>89</v>
      </c>
      <c r="H251" s="1" t="s">
        <v>20</v>
      </c>
      <c r="I251" s="1" t="s">
        <v>21</v>
      </c>
      <c r="J251" s="1" t="s">
        <v>21</v>
      </c>
      <c r="K251">
        <v>7500</v>
      </c>
      <c r="L251">
        <v>1833</v>
      </c>
      <c r="M251">
        <v>0</v>
      </c>
      <c r="N25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5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51" s="5">
        <v>1673820</v>
      </c>
      <c r="Q251" t="str">
        <f>IF(OR(digital_banking_transactions3[[#This Row],[Nominal_Bersih]]&lt;0,digital_banking_transactions3[[#This Row],[Nominal_Bersih]]=0),"Invalid","Valid")</f>
        <v>Valid</v>
      </c>
      <c r="R25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45493</v>
      </c>
      <c r="S251" s="1" t="str">
        <f>TEXT(digital_banking_transactions3[[#This Row],[Tanggal_Bersih]],"MMMM YYYY")</f>
        <v>July 2024</v>
      </c>
      <c r="T25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5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52" spans="1:21" x14ac:dyDescent="0.35">
      <c r="A252" s="1" t="s">
        <v>1083</v>
      </c>
      <c r="B252" s="1" t="s">
        <v>1084</v>
      </c>
      <c r="C252" s="1" t="s">
        <v>1085</v>
      </c>
      <c r="D252" s="1" t="s">
        <v>75</v>
      </c>
      <c r="E252" s="1" t="s">
        <v>17</v>
      </c>
      <c r="F252" s="4">
        <v>275986</v>
      </c>
      <c r="G252" s="1" t="s">
        <v>65</v>
      </c>
      <c r="H252" s="1" t="s">
        <v>96</v>
      </c>
      <c r="I252" s="1" t="s">
        <v>21</v>
      </c>
      <c r="J252" s="1" t="s">
        <v>79</v>
      </c>
      <c r="K252">
        <v>2500</v>
      </c>
      <c r="L252">
        <v>1782</v>
      </c>
      <c r="M252">
        <v>1</v>
      </c>
      <c r="N25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5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52" s="5">
        <v>275986</v>
      </c>
      <c r="Q252" t="str">
        <f>IF(OR(digital_banking_transactions3[[#This Row],[Nominal_Bersih]]&lt;0,digital_banking_transactions3[[#This Row],[Nominal_Bersih]]=0),"Invalid","Valid")</f>
        <v>Valid</v>
      </c>
      <c r="R25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45641</v>
      </c>
      <c r="S252" s="1" t="str">
        <f>TEXT(digital_banking_transactions3[[#This Row],[Tanggal_Bersih]],"MMMM YYYY")</f>
        <v>December 2024</v>
      </c>
      <c r="T25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5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53" spans="1:21" x14ac:dyDescent="0.35">
      <c r="A253" s="1" t="s">
        <v>1087</v>
      </c>
      <c r="B253" s="1" t="s">
        <v>1088</v>
      </c>
      <c r="C253" s="1" t="s">
        <v>1089</v>
      </c>
      <c r="D253" s="1" t="s">
        <v>16</v>
      </c>
      <c r="E253" s="1" t="s">
        <v>17</v>
      </c>
      <c r="F253" s="1">
        <v>33386467</v>
      </c>
      <c r="G253" s="1" t="s">
        <v>137</v>
      </c>
      <c r="H253" s="1" t="s">
        <v>54</v>
      </c>
      <c r="I253" s="1" t="s">
        <v>21</v>
      </c>
      <c r="J253" s="1" t="s">
        <v>21</v>
      </c>
      <c r="K253">
        <v>2500</v>
      </c>
      <c r="L253">
        <v>3859</v>
      </c>
      <c r="M253">
        <v>0</v>
      </c>
      <c r="N25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5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53" s="5">
        <v>33386467</v>
      </c>
      <c r="Q253" t="str">
        <f>IF(OR(digital_banking_transactions3[[#This Row],[Nominal_Bersih]]&lt;0,digital_banking_transactions3[[#This Row],[Nominal_Bersih]]=0),"Invalid","Valid")</f>
        <v>Valid</v>
      </c>
      <c r="R25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45323</v>
      </c>
      <c r="S253" s="1" t="str">
        <f>TEXT(digital_banking_transactions3[[#This Row],[Tanggal_Bersih]],"MMMM YYYY")</f>
        <v>February 2024</v>
      </c>
      <c r="T25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5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54" spans="1:21" x14ac:dyDescent="0.35">
      <c r="A254" s="1" t="s">
        <v>1091</v>
      </c>
      <c r="B254" s="1" t="s">
        <v>1092</v>
      </c>
      <c r="C254" s="1" t="s">
        <v>1093</v>
      </c>
      <c r="D254" s="1" t="s">
        <v>25</v>
      </c>
      <c r="E254" s="1" t="s">
        <v>94</v>
      </c>
      <c r="F254" s="1" t="s">
        <v>1094</v>
      </c>
      <c r="G254" s="1" t="s">
        <v>381</v>
      </c>
      <c r="H254" s="1" t="s">
        <v>42</v>
      </c>
      <c r="I254" s="1" t="s">
        <v>21</v>
      </c>
      <c r="J254" s="1" t="s">
        <v>208</v>
      </c>
      <c r="K254">
        <v>1500</v>
      </c>
      <c r="L254">
        <v>1366</v>
      </c>
      <c r="M254">
        <v>0</v>
      </c>
      <c r="N25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5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54" s="5" t="s">
        <v>1094</v>
      </c>
      <c r="Q254" t="str">
        <f>IF(OR(digital_banking_transactions3[[#This Row],[Nominal_Bersih]]&lt;0,digital_banking_transactions3[[#This Row],[Nominal_Bersih]]=0),"Invalid","Valid")</f>
        <v>Valid</v>
      </c>
      <c r="R25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45371</v>
      </c>
      <c r="S254" s="1" t="str">
        <f>TEXT(digital_banking_transactions3[[#This Row],[Tanggal_Bersih]],"MMMM YYYY")</f>
        <v>March 2024</v>
      </c>
      <c r="T25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5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55" spans="1:21" x14ac:dyDescent="0.35">
      <c r="A255" s="1" t="s">
        <v>1095</v>
      </c>
      <c r="B255" s="1" t="s">
        <v>1096</v>
      </c>
      <c r="C255" s="1" t="s">
        <v>1097</v>
      </c>
      <c r="D255" s="1" t="s">
        <v>16</v>
      </c>
      <c r="E255" s="1" t="s">
        <v>94</v>
      </c>
      <c r="F255" s="1" t="s">
        <v>1098</v>
      </c>
      <c r="G255" s="1" t="s">
        <v>65</v>
      </c>
      <c r="H255" s="1" t="s">
        <v>77</v>
      </c>
      <c r="I255" s="1" t="s">
        <v>21</v>
      </c>
      <c r="J255" s="1" t="s">
        <v>21</v>
      </c>
      <c r="K255">
        <v>1500</v>
      </c>
      <c r="L255">
        <v>2672</v>
      </c>
      <c r="M255">
        <v>0</v>
      </c>
      <c r="N25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5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55" s="5" t="s">
        <v>1098</v>
      </c>
      <c r="Q255" t="str">
        <f>IF(OR(digital_banking_transactions3[[#This Row],[Nominal_Bersih]]&lt;0,digital_banking_transactions3[[#This Row],[Nominal_Bersih]]=0),"Invalid","Valid")</f>
        <v>Valid</v>
      </c>
      <c r="R25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45566</v>
      </c>
      <c r="S255" s="1" t="str">
        <f>TEXT(digital_banking_transactions3[[#This Row],[Tanggal_Bersih]],"MMMM YYYY")</f>
        <v>October 2024</v>
      </c>
      <c r="T25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5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56" spans="1:21" x14ac:dyDescent="0.35">
      <c r="A256" s="1" t="s">
        <v>1099</v>
      </c>
      <c r="B256" s="1" t="s">
        <v>1100</v>
      </c>
      <c r="C256" s="1" t="s">
        <v>1101</v>
      </c>
      <c r="D256" s="1" t="s">
        <v>135</v>
      </c>
      <c r="E256" s="1" t="s">
        <v>94</v>
      </c>
      <c r="F256" s="1" t="s">
        <v>1102</v>
      </c>
      <c r="G256" s="1" t="s">
        <v>41</v>
      </c>
      <c r="H256" s="1" t="s">
        <v>77</v>
      </c>
      <c r="I256" s="1" t="s">
        <v>21</v>
      </c>
      <c r="J256" s="1" t="s">
        <v>79</v>
      </c>
      <c r="K256">
        <v>1500</v>
      </c>
      <c r="L256">
        <v>3464</v>
      </c>
      <c r="M256">
        <v>0</v>
      </c>
      <c r="N25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5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56" s="5" t="s">
        <v>1102</v>
      </c>
      <c r="Q256" t="str">
        <f>IF(OR(digital_banking_transactions3[[#This Row],[Nominal_Bersih]]&lt;0,digital_banking_transactions3[[#This Row],[Nominal_Bersih]]=0),"Invalid","Valid")</f>
        <v>Valid</v>
      </c>
      <c r="R25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45375</v>
      </c>
      <c r="S256" s="1" t="str">
        <f>TEXT(digital_banking_transactions3[[#This Row],[Tanggal_Bersih]],"MMMM YYYY")</f>
        <v>March 2024</v>
      </c>
      <c r="T25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5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57" spans="1:21" x14ac:dyDescent="0.35">
      <c r="A257" s="1" t="s">
        <v>1103</v>
      </c>
      <c r="B257" s="1" t="s">
        <v>1104</v>
      </c>
      <c r="C257" s="1" t="s">
        <v>1105</v>
      </c>
      <c r="D257" s="1" t="s">
        <v>75</v>
      </c>
      <c r="E257" s="1" t="s">
        <v>94</v>
      </c>
      <c r="F257" s="1" t="s">
        <v>1106</v>
      </c>
      <c r="G257" s="1" t="s">
        <v>89</v>
      </c>
      <c r="H257" s="1" t="s">
        <v>77</v>
      </c>
      <c r="I257" s="1" t="s">
        <v>21</v>
      </c>
      <c r="J257" s="1" t="s">
        <v>71</v>
      </c>
      <c r="K257">
        <v>1500</v>
      </c>
      <c r="L257">
        <v>1864</v>
      </c>
      <c r="M257">
        <v>0</v>
      </c>
      <c r="N25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5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57" s="5" t="s">
        <v>1106</v>
      </c>
      <c r="Q257" t="str">
        <f>IF(OR(digital_banking_transactions3[[#This Row],[Nominal_Bersih]]&lt;0,digital_banking_transactions3[[#This Row],[Nominal_Bersih]]=0),"Invalid","Valid")</f>
        <v>Valid</v>
      </c>
      <c r="R25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45352</v>
      </c>
      <c r="S257" s="1" t="str">
        <f>TEXT(digital_banking_transactions3[[#This Row],[Tanggal_Bersih]],"MMMM YYYY")</f>
        <v>March 2024</v>
      </c>
      <c r="T25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5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58" spans="1:21" x14ac:dyDescent="0.35">
      <c r="A258" s="1" t="s">
        <v>1107</v>
      </c>
      <c r="B258" s="1" t="s">
        <v>1108</v>
      </c>
      <c r="C258" s="1" t="s">
        <v>1109</v>
      </c>
      <c r="D258" s="1" t="s">
        <v>58</v>
      </c>
      <c r="E258" s="1" t="s">
        <v>94</v>
      </c>
      <c r="F258" s="1">
        <v>275096000</v>
      </c>
      <c r="G258" s="1" t="s">
        <v>19</v>
      </c>
      <c r="H258" s="1" t="s">
        <v>77</v>
      </c>
      <c r="I258" s="1" t="s">
        <v>21</v>
      </c>
      <c r="J258" s="1" t="s">
        <v>21</v>
      </c>
      <c r="K258">
        <v>1500</v>
      </c>
      <c r="L258">
        <v>4880</v>
      </c>
      <c r="M258">
        <v>0</v>
      </c>
      <c r="N25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5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58" s="5">
        <v>275096000</v>
      </c>
      <c r="Q258" t="str">
        <f>IF(OR(digital_banking_transactions3[[#This Row],[Nominal_Bersih]]&lt;0,digital_banking_transactions3[[#This Row],[Nominal_Bersih]]=0),"Invalid","Valid")</f>
        <v>Valid</v>
      </c>
      <c r="R25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45547</v>
      </c>
      <c r="S258" s="1" t="str">
        <f>TEXT(digital_banking_transactions3[[#This Row],[Tanggal_Bersih]],"MMMM YYYY")</f>
        <v>September 2024</v>
      </c>
      <c r="T25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5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59" spans="1:21" x14ac:dyDescent="0.35">
      <c r="A259" s="1" t="s">
        <v>1111</v>
      </c>
      <c r="B259" s="1" t="s">
        <v>1112</v>
      </c>
      <c r="C259" s="1" t="s">
        <v>1113</v>
      </c>
      <c r="D259" s="1" t="s">
        <v>25</v>
      </c>
      <c r="E259" s="1" t="s">
        <v>32</v>
      </c>
      <c r="F259" s="1" t="s">
        <v>1114</v>
      </c>
      <c r="G259" s="1" t="s">
        <v>65</v>
      </c>
      <c r="H259" s="1" t="s">
        <v>60</v>
      </c>
      <c r="I259" s="1" t="s">
        <v>21</v>
      </c>
      <c r="J259" s="1" t="s">
        <v>21</v>
      </c>
      <c r="K259">
        <v>0</v>
      </c>
      <c r="L259">
        <v>1803</v>
      </c>
      <c r="M259">
        <v>0</v>
      </c>
      <c r="N25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5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59" s="5" t="s">
        <v>1114</v>
      </c>
      <c r="Q259" t="str">
        <f>IF(OR(digital_banking_transactions3[[#This Row],[Nominal_Bersih]]&lt;0,digital_banking_transactions3[[#This Row],[Nominal_Bersih]]=0),"Invalid","Valid")</f>
        <v>Valid</v>
      </c>
      <c r="R25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45381</v>
      </c>
      <c r="S259" s="1" t="str">
        <f>TEXT(digital_banking_transactions3[[#This Row],[Tanggal_Bersih]],"MMMM YYYY")</f>
        <v>March 2024</v>
      </c>
      <c r="T25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5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60" spans="1:21" x14ac:dyDescent="0.35">
      <c r="A260" s="1" t="s">
        <v>1115</v>
      </c>
      <c r="B260" s="1" t="s">
        <v>1116</v>
      </c>
      <c r="C260" s="1" t="s">
        <v>1117</v>
      </c>
      <c r="D260" s="1" t="s">
        <v>16</v>
      </c>
      <c r="E260" s="1" t="s">
        <v>52</v>
      </c>
      <c r="F260" s="1" t="s">
        <v>1118</v>
      </c>
      <c r="G260" s="1" t="s">
        <v>65</v>
      </c>
      <c r="H260" s="1" t="s">
        <v>20</v>
      </c>
      <c r="I260" s="1" t="s">
        <v>291</v>
      </c>
      <c r="J260" s="1" t="s">
        <v>21</v>
      </c>
      <c r="K260">
        <v>6500</v>
      </c>
      <c r="L260">
        <v>3275</v>
      </c>
      <c r="M260">
        <v>0</v>
      </c>
      <c r="N26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6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60" s="5" t="s">
        <v>1118</v>
      </c>
      <c r="Q260" t="str">
        <f>IF(OR(digital_banking_transactions3[[#This Row],[Nominal_Bersih]]&lt;0,digital_banking_transactions3[[#This Row],[Nominal_Bersih]]=0),"Invalid","Valid")</f>
        <v>Valid</v>
      </c>
      <c r="R26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45363</v>
      </c>
      <c r="S260" s="1" t="str">
        <f>TEXT(digital_banking_transactions3[[#This Row],[Tanggal_Bersih]],"MMMM YYYY")</f>
        <v>March 2024</v>
      </c>
      <c r="T26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6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61" spans="1:21" x14ac:dyDescent="0.35">
      <c r="A261" s="1" t="s">
        <v>1119</v>
      </c>
      <c r="B261" s="1" t="s">
        <v>1120</v>
      </c>
      <c r="C261" s="1" t="s">
        <v>1121</v>
      </c>
      <c r="D261" s="1" t="s">
        <v>16</v>
      </c>
      <c r="E261" s="1" t="s">
        <v>94</v>
      </c>
      <c r="F261" s="1">
        <v>38824215</v>
      </c>
      <c r="G261" s="1" t="s">
        <v>41</v>
      </c>
      <c r="H261" s="1" t="s">
        <v>77</v>
      </c>
      <c r="I261" s="1" t="s">
        <v>21</v>
      </c>
      <c r="J261" s="1" t="s">
        <v>21</v>
      </c>
      <c r="K261">
        <v>1500</v>
      </c>
      <c r="L261">
        <v>1639</v>
      </c>
      <c r="M261">
        <v>0</v>
      </c>
      <c r="N26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6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61" s="5">
        <v>38824215</v>
      </c>
      <c r="Q261" t="str">
        <f>IF(OR(digital_banking_transactions3[[#This Row],[Nominal_Bersih]]&lt;0,digital_banking_transactions3[[#This Row],[Nominal_Bersih]]=0),"Invalid","Valid")</f>
        <v>Valid</v>
      </c>
      <c r="R26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45614</v>
      </c>
      <c r="S261" s="1" t="str">
        <f>TEXT(digital_banking_transactions3[[#This Row],[Tanggal_Bersih]],"MMMM YYYY")</f>
        <v>November 2024</v>
      </c>
      <c r="T26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6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62" spans="1:21" x14ac:dyDescent="0.35">
      <c r="A262" s="1" t="s">
        <v>1123</v>
      </c>
      <c r="B262" s="1" t="s">
        <v>1124</v>
      </c>
      <c r="C262" s="1" t="s">
        <v>1125</v>
      </c>
      <c r="D262" s="1" t="s">
        <v>75</v>
      </c>
      <c r="E262" s="1" t="s">
        <v>17</v>
      </c>
      <c r="F262" s="1" t="s">
        <v>1126</v>
      </c>
      <c r="G262" s="1" t="s">
        <v>41</v>
      </c>
      <c r="H262" s="1" t="s">
        <v>42</v>
      </c>
      <c r="I262" s="1" t="s">
        <v>21</v>
      </c>
      <c r="J262" s="1" t="s">
        <v>21</v>
      </c>
      <c r="K262">
        <v>2500</v>
      </c>
      <c r="L262">
        <v>4828</v>
      </c>
      <c r="M262">
        <v>0</v>
      </c>
      <c r="N26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6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62" s="5" t="s">
        <v>1126</v>
      </c>
      <c r="Q262" t="str">
        <f>IF(OR(digital_banking_transactions3[[#This Row],[Nominal_Bersih]]&lt;0,digital_banking_transactions3[[#This Row],[Nominal_Bersih]]=0),"Invalid","Valid")</f>
        <v>Valid</v>
      </c>
      <c r="R26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45466</v>
      </c>
      <c r="S262" s="1" t="str">
        <f>TEXT(digital_banking_transactions3[[#This Row],[Tanggal_Bersih]],"MMMM YYYY")</f>
        <v>June 2024</v>
      </c>
      <c r="T26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6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63" spans="1:21" x14ac:dyDescent="0.35">
      <c r="A263" s="1" t="s">
        <v>1127</v>
      </c>
      <c r="B263" s="1" t="s">
        <v>1128</v>
      </c>
      <c r="C263" s="1" t="s">
        <v>1129</v>
      </c>
      <c r="D263" s="1" t="s">
        <v>75</v>
      </c>
      <c r="E263" s="1" t="s">
        <v>32</v>
      </c>
      <c r="F263" s="1">
        <v>476894500</v>
      </c>
      <c r="G263" s="1" t="s">
        <v>137</v>
      </c>
      <c r="H263" s="1" t="s">
        <v>20</v>
      </c>
      <c r="I263" s="1" t="s">
        <v>21</v>
      </c>
      <c r="J263" s="1" t="s">
        <v>79</v>
      </c>
      <c r="K263">
        <v>0</v>
      </c>
      <c r="L263">
        <v>4981</v>
      </c>
      <c r="M263">
        <v>1</v>
      </c>
      <c r="N26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6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63" s="5">
        <v>476894500</v>
      </c>
      <c r="Q263" t="str">
        <f>IF(OR(digital_banking_transactions3[[#This Row],[Nominal_Bersih]]&lt;0,digital_banking_transactions3[[#This Row],[Nominal_Bersih]]=0),"Invalid","Valid")</f>
        <v>Valid</v>
      </c>
      <c r="R26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45390</v>
      </c>
      <c r="S263" s="1" t="str">
        <f>TEXT(digital_banking_transactions3[[#This Row],[Tanggal_Bersih]],"MMMM YYYY")</f>
        <v>April 2024</v>
      </c>
      <c r="T26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6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64" spans="1:21" x14ac:dyDescent="0.35">
      <c r="A264" s="1" t="s">
        <v>1131</v>
      </c>
      <c r="B264" s="1" t="s">
        <v>1132</v>
      </c>
      <c r="C264" s="1" t="s">
        <v>1133</v>
      </c>
      <c r="D264" s="1" t="s">
        <v>16</v>
      </c>
      <c r="E264" s="1" t="s">
        <v>39</v>
      </c>
      <c r="F264" s="1" t="s">
        <v>1134</v>
      </c>
      <c r="G264" s="1" t="s">
        <v>41</v>
      </c>
      <c r="H264" s="1" t="s">
        <v>42</v>
      </c>
      <c r="I264" s="1" t="s">
        <v>21</v>
      </c>
      <c r="J264" s="1" t="s">
        <v>21</v>
      </c>
      <c r="K264">
        <v>7500</v>
      </c>
      <c r="M264">
        <v>0</v>
      </c>
      <c r="N26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6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64" s="5" t="s">
        <v>1134</v>
      </c>
      <c r="Q264" t="str">
        <f>IF(OR(digital_banking_transactions3[[#This Row],[Nominal_Bersih]]&lt;0,digital_banking_transactions3[[#This Row],[Nominal_Bersih]]=0),"Invalid","Valid")</f>
        <v>Valid</v>
      </c>
      <c r="R26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45301</v>
      </c>
      <c r="S264" s="1" t="str">
        <f>TEXT(digital_banking_transactions3[[#This Row],[Tanggal_Bersih]],"MMMM YYYY")</f>
        <v>January 2024</v>
      </c>
      <c r="T26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6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265" spans="1:21" x14ac:dyDescent="0.35">
      <c r="A265" s="1" t="s">
        <v>1135</v>
      </c>
      <c r="B265" s="1" t="s">
        <v>1136</v>
      </c>
      <c r="C265" s="1" t="s">
        <v>1137</v>
      </c>
      <c r="D265" s="1" t="s">
        <v>110</v>
      </c>
      <c r="E265" s="1" t="s">
        <v>32</v>
      </c>
      <c r="F265" s="1">
        <v>319603800</v>
      </c>
      <c r="G265" s="1" t="s">
        <v>65</v>
      </c>
      <c r="H265" s="1" t="s">
        <v>54</v>
      </c>
      <c r="I265" s="1" t="s">
        <v>21</v>
      </c>
      <c r="J265" s="1" t="s">
        <v>21</v>
      </c>
      <c r="K265">
        <v>0</v>
      </c>
      <c r="L265">
        <v>2492</v>
      </c>
      <c r="M265">
        <v>0</v>
      </c>
      <c r="N26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6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65" s="5">
        <v>319603800</v>
      </c>
      <c r="Q265" t="str">
        <f>IF(OR(digital_banking_transactions3[[#This Row],[Nominal_Bersih]]&lt;0,digital_banking_transactions3[[#This Row],[Nominal_Bersih]]=0),"Invalid","Valid")</f>
        <v>Valid</v>
      </c>
      <c r="R26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45562</v>
      </c>
      <c r="S265" s="1" t="str">
        <f>TEXT(digital_banking_transactions3[[#This Row],[Tanggal_Bersih]],"MMMM YYYY")</f>
        <v>September 2024</v>
      </c>
      <c r="T26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6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66" spans="1:21" x14ac:dyDescent="0.35">
      <c r="A266" s="1" t="s">
        <v>1139</v>
      </c>
      <c r="B266" s="1" t="s">
        <v>1140</v>
      </c>
      <c r="C266" s="1" t="s">
        <v>1141</v>
      </c>
      <c r="D266" s="1" t="s">
        <v>25</v>
      </c>
      <c r="E266" s="1" t="s">
        <v>94</v>
      </c>
      <c r="F266" s="1">
        <v>3480967000</v>
      </c>
      <c r="G266" s="1" t="s">
        <v>48</v>
      </c>
      <c r="H266" s="1" t="s">
        <v>77</v>
      </c>
      <c r="I266" s="1" t="s">
        <v>21</v>
      </c>
      <c r="J266" s="1" t="s">
        <v>79</v>
      </c>
      <c r="K266">
        <v>1500</v>
      </c>
      <c r="L266">
        <v>3328</v>
      </c>
      <c r="M266">
        <v>0</v>
      </c>
      <c r="N26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6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66" s="5">
        <v>3480967000</v>
      </c>
      <c r="Q266" t="str">
        <f>IF(OR(digital_banking_transactions3[[#This Row],[Nominal_Bersih]]&lt;0,digital_banking_transactions3[[#This Row],[Nominal_Bersih]]=0),"Invalid","Valid")</f>
        <v>Valid</v>
      </c>
      <c r="R26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45646</v>
      </c>
      <c r="S266" s="1" t="str">
        <f>TEXT(digital_banking_transactions3[[#This Row],[Tanggal_Bersih]],"MMMM YYYY")</f>
        <v>December 2024</v>
      </c>
      <c r="T26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6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67" spans="1:21" x14ac:dyDescent="0.35">
      <c r="A267" s="1" t="s">
        <v>1143</v>
      </c>
      <c r="B267" s="1" t="s">
        <v>1144</v>
      </c>
      <c r="C267" s="1" t="s">
        <v>1145</v>
      </c>
      <c r="D267" s="1" t="s">
        <v>25</v>
      </c>
      <c r="E267" s="1" t="s">
        <v>94</v>
      </c>
      <c r="F267" s="1">
        <v>1679317</v>
      </c>
      <c r="G267" s="1" t="s">
        <v>41</v>
      </c>
      <c r="H267" s="1" t="s">
        <v>54</v>
      </c>
      <c r="I267" s="1" t="s">
        <v>21</v>
      </c>
      <c r="J267" s="1" t="s">
        <v>21</v>
      </c>
      <c r="K267">
        <v>1500</v>
      </c>
      <c r="L267">
        <v>4443</v>
      </c>
      <c r="M267">
        <v>0</v>
      </c>
      <c r="N26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6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67" s="5">
        <v>1679317</v>
      </c>
      <c r="Q267" t="str">
        <f>IF(OR(digital_banking_transactions3[[#This Row],[Nominal_Bersih]]&lt;0,digital_banking_transactions3[[#This Row],[Nominal_Bersih]]=0),"Invalid","Valid")</f>
        <v>Valid</v>
      </c>
      <c r="R26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45473</v>
      </c>
      <c r="S267" s="1" t="str">
        <f>TEXT(digital_banking_transactions3[[#This Row],[Tanggal_Bersih]],"MMMM YYYY")</f>
        <v>June 2024</v>
      </c>
      <c r="T26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6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68" spans="1:21" x14ac:dyDescent="0.35">
      <c r="A268" s="1" t="s">
        <v>1147</v>
      </c>
      <c r="B268" s="1" t="s">
        <v>1148</v>
      </c>
      <c r="C268" s="1" t="s">
        <v>1149</v>
      </c>
      <c r="D268" s="1" t="s">
        <v>546</v>
      </c>
      <c r="E268" s="1" t="s">
        <v>94</v>
      </c>
      <c r="F268" s="1" t="s">
        <v>1150</v>
      </c>
      <c r="G268" s="1" t="s">
        <v>65</v>
      </c>
      <c r="H268" s="1" t="s">
        <v>20</v>
      </c>
      <c r="I268" s="1" t="s">
        <v>21</v>
      </c>
      <c r="J268" s="1" t="s">
        <v>71</v>
      </c>
      <c r="K268">
        <v>1500</v>
      </c>
      <c r="L268">
        <v>2251</v>
      </c>
      <c r="M268">
        <v>0</v>
      </c>
      <c r="N26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6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68" s="5" t="s">
        <v>1150</v>
      </c>
      <c r="Q268" t="str">
        <f>IF(OR(digital_banking_transactions3[[#This Row],[Nominal_Bersih]]&lt;0,digital_banking_transactions3[[#This Row],[Nominal_Bersih]]=0),"Invalid","Valid")</f>
        <v>Valid</v>
      </c>
      <c r="R26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45515</v>
      </c>
      <c r="S268" s="1" t="str">
        <f>TEXT(digital_banking_transactions3[[#This Row],[Tanggal_Bersih]],"MMMM YYYY")</f>
        <v>August 2024</v>
      </c>
      <c r="T26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6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69" spans="1:21" x14ac:dyDescent="0.35">
      <c r="A269" s="1" t="s">
        <v>1151</v>
      </c>
      <c r="B269" s="1" t="s">
        <v>1152</v>
      </c>
      <c r="C269" s="1" t="s">
        <v>1153</v>
      </c>
      <c r="D269" s="1" t="s">
        <v>16</v>
      </c>
      <c r="E269" s="1" t="s">
        <v>32</v>
      </c>
      <c r="F269" s="1" t="s">
        <v>1154</v>
      </c>
      <c r="G269" s="1" t="s">
        <v>65</v>
      </c>
      <c r="H269" s="1" t="s">
        <v>96</v>
      </c>
      <c r="I269" s="1" t="s">
        <v>21</v>
      </c>
      <c r="J269" s="1" t="s">
        <v>21</v>
      </c>
      <c r="K269">
        <v>0</v>
      </c>
      <c r="L269">
        <v>4589</v>
      </c>
      <c r="M269">
        <v>1</v>
      </c>
      <c r="N26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6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69" s="5" t="s">
        <v>1154</v>
      </c>
      <c r="Q269" t="str">
        <f>IF(OR(digital_banking_transactions3[[#This Row],[Nominal_Bersih]]&lt;0,digital_banking_transactions3[[#This Row],[Nominal_Bersih]]=0),"Invalid","Valid")</f>
        <v>Valid</v>
      </c>
      <c r="R26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45300</v>
      </c>
      <c r="S269" s="1" t="str">
        <f>TEXT(digital_banking_transactions3[[#This Row],[Tanggal_Bersih]],"MMMM YYYY")</f>
        <v>January 2024</v>
      </c>
      <c r="T26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6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70" spans="1:21" x14ac:dyDescent="0.35">
      <c r="A270" s="1" t="s">
        <v>1156</v>
      </c>
      <c r="B270" s="1" t="s">
        <v>1157</v>
      </c>
      <c r="C270" s="1" t="s">
        <v>1158</v>
      </c>
      <c r="D270" s="1" t="s">
        <v>135</v>
      </c>
      <c r="E270" s="1" t="s">
        <v>39</v>
      </c>
      <c r="F270" s="1" t="s">
        <v>1159</v>
      </c>
      <c r="G270" s="1" t="s">
        <v>65</v>
      </c>
      <c r="H270" s="1" t="s">
        <v>77</v>
      </c>
      <c r="I270" s="1" t="s">
        <v>21</v>
      </c>
      <c r="J270" s="1" t="s">
        <v>21</v>
      </c>
      <c r="K270">
        <v>7500</v>
      </c>
      <c r="L270">
        <v>4397</v>
      </c>
      <c r="M270">
        <v>0</v>
      </c>
      <c r="N27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7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70" s="5" t="s">
        <v>1159</v>
      </c>
      <c r="Q270" t="str">
        <f>IF(OR(digital_banking_transactions3[[#This Row],[Nominal_Bersih]]&lt;0,digital_banking_transactions3[[#This Row],[Nominal_Bersih]]=0),"Invalid","Valid")</f>
        <v>Valid</v>
      </c>
      <c r="R27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45563</v>
      </c>
      <c r="S270" s="1" t="str">
        <f>TEXT(digital_banking_transactions3[[#This Row],[Tanggal_Bersih]],"MMMM YYYY")</f>
        <v>September 2024</v>
      </c>
      <c r="T27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7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71" spans="1:21" x14ac:dyDescent="0.35">
      <c r="A271" s="1" t="s">
        <v>1160</v>
      </c>
      <c r="B271" s="1" t="s">
        <v>1161</v>
      </c>
      <c r="C271" s="1" t="s">
        <v>1162</v>
      </c>
      <c r="D271" s="1" t="s">
        <v>284</v>
      </c>
      <c r="E271" s="1" t="s">
        <v>17</v>
      </c>
      <c r="F271" s="1">
        <v>2550844</v>
      </c>
      <c r="G271" s="1" t="s">
        <v>105</v>
      </c>
      <c r="H271" s="1" t="s">
        <v>106</v>
      </c>
      <c r="I271" s="1" t="s">
        <v>21</v>
      </c>
      <c r="J271" s="1" t="s">
        <v>121</v>
      </c>
      <c r="K271">
        <v>2500</v>
      </c>
      <c r="L271">
        <v>2323</v>
      </c>
      <c r="M271">
        <v>0</v>
      </c>
      <c r="N27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7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71" s="5">
        <v>2550844</v>
      </c>
      <c r="Q271" t="str">
        <f>IF(OR(digital_banking_transactions3[[#This Row],[Nominal_Bersih]]&lt;0,digital_banking_transactions3[[#This Row],[Nominal_Bersih]]=0),"Invalid","Valid")</f>
        <v>Valid</v>
      </c>
      <c r="R27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45492</v>
      </c>
      <c r="S271" s="1" t="str">
        <f>TEXT(digital_banking_transactions3[[#This Row],[Tanggal_Bersih]],"MMMM YYYY")</f>
        <v>July 2024</v>
      </c>
      <c r="T27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7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72" spans="1:21" x14ac:dyDescent="0.35">
      <c r="A272" s="1" t="s">
        <v>1164</v>
      </c>
      <c r="B272" s="1" t="s">
        <v>1165</v>
      </c>
      <c r="C272" s="1" t="s">
        <v>1166</v>
      </c>
      <c r="D272" s="1" t="s">
        <v>25</v>
      </c>
      <c r="E272" s="1" t="s">
        <v>32</v>
      </c>
      <c r="F272" s="1">
        <v>65265</v>
      </c>
      <c r="G272" s="1" t="s">
        <v>41</v>
      </c>
      <c r="H272" s="1" t="s">
        <v>77</v>
      </c>
      <c r="I272" s="1" t="s">
        <v>21</v>
      </c>
      <c r="J272" s="1" t="s">
        <v>121</v>
      </c>
      <c r="K272">
        <v>0</v>
      </c>
      <c r="L272">
        <v>3797</v>
      </c>
      <c r="M272">
        <v>0</v>
      </c>
      <c r="N27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7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72" s="5">
        <v>65265</v>
      </c>
      <c r="Q272" t="str">
        <f>IF(OR(digital_banking_transactions3[[#This Row],[Nominal_Bersih]]&lt;0,digital_banking_transactions3[[#This Row],[Nominal_Bersih]]=0),"Invalid","Valid")</f>
        <v>Valid</v>
      </c>
      <c r="R27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45604</v>
      </c>
      <c r="S272" s="1" t="str">
        <f>TEXT(digital_banking_transactions3[[#This Row],[Tanggal_Bersih]],"MMMM YYYY")</f>
        <v>November 2024</v>
      </c>
      <c r="T27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7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73" spans="1:21" x14ac:dyDescent="0.35">
      <c r="A273" s="1" t="s">
        <v>1168</v>
      </c>
      <c r="B273" s="1" t="s">
        <v>1169</v>
      </c>
      <c r="C273" s="1" t="s">
        <v>1170</v>
      </c>
      <c r="D273" s="1" t="s">
        <v>25</v>
      </c>
      <c r="E273" s="1" t="s">
        <v>52</v>
      </c>
      <c r="F273" s="1">
        <v>30462982</v>
      </c>
      <c r="G273" s="1" t="s">
        <v>126</v>
      </c>
      <c r="H273" s="1" t="s">
        <v>96</v>
      </c>
      <c r="I273" s="1" t="s">
        <v>131</v>
      </c>
      <c r="J273" s="1" t="s">
        <v>121</v>
      </c>
      <c r="K273">
        <v>6500</v>
      </c>
      <c r="L273">
        <v>3481</v>
      </c>
      <c r="M273">
        <v>0</v>
      </c>
      <c r="N27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7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73" s="5">
        <v>30462982</v>
      </c>
      <c r="Q273" t="str">
        <f>IF(OR(digital_banking_transactions3[[#This Row],[Nominal_Bersih]]&lt;0,digital_banking_transactions3[[#This Row],[Nominal_Bersih]]=0),"Invalid","Valid")</f>
        <v>Valid</v>
      </c>
      <c r="R27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45381</v>
      </c>
      <c r="S273" s="1" t="str">
        <f>TEXT(digital_banking_transactions3[[#This Row],[Tanggal_Bersih]],"MMMM YYYY")</f>
        <v>March 2024</v>
      </c>
      <c r="T27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7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74" spans="1:21" x14ac:dyDescent="0.35">
      <c r="A274" s="1" t="s">
        <v>1172</v>
      </c>
      <c r="B274" s="1" t="s">
        <v>1173</v>
      </c>
      <c r="C274" s="1" t="s">
        <v>1174</v>
      </c>
      <c r="D274" s="1" t="s">
        <v>16</v>
      </c>
      <c r="E274" s="1" t="s">
        <v>94</v>
      </c>
      <c r="F274" s="1" t="s">
        <v>1175</v>
      </c>
      <c r="G274" s="1" t="s">
        <v>41</v>
      </c>
      <c r="H274" s="1" t="s">
        <v>77</v>
      </c>
      <c r="I274" s="1" t="s">
        <v>21</v>
      </c>
      <c r="J274" s="1" t="s">
        <v>21</v>
      </c>
      <c r="K274">
        <v>1500</v>
      </c>
      <c r="L274">
        <v>2579</v>
      </c>
      <c r="M274">
        <v>0</v>
      </c>
      <c r="N27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7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74" s="5" t="s">
        <v>1175</v>
      </c>
      <c r="Q274" t="str">
        <f>IF(OR(digital_banking_transactions3[[#This Row],[Nominal_Bersih]]&lt;0,digital_banking_transactions3[[#This Row],[Nominal_Bersih]]=0),"Invalid","Valid")</f>
        <v>Valid</v>
      </c>
      <c r="R27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45614</v>
      </c>
      <c r="S274" s="1" t="str">
        <f>TEXT(digital_banking_transactions3[[#This Row],[Tanggal_Bersih]],"MMMM YYYY")</f>
        <v>November 2024</v>
      </c>
      <c r="T27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7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75" spans="1:21" x14ac:dyDescent="0.35">
      <c r="A275" s="1" t="s">
        <v>1176</v>
      </c>
      <c r="B275" s="1" t="s">
        <v>1177</v>
      </c>
      <c r="C275" s="1" t="s">
        <v>1178</v>
      </c>
      <c r="D275" s="1" t="s">
        <v>75</v>
      </c>
      <c r="E275" s="1" t="s">
        <v>52</v>
      </c>
      <c r="F275" s="1">
        <v>1457269300</v>
      </c>
      <c r="G275" s="1" t="s">
        <v>89</v>
      </c>
      <c r="H275" s="1" t="s">
        <v>35</v>
      </c>
      <c r="I275" s="1" t="s">
        <v>112</v>
      </c>
      <c r="J275" s="1" t="s">
        <v>21</v>
      </c>
      <c r="K275">
        <v>6500</v>
      </c>
      <c r="L275">
        <v>2674</v>
      </c>
      <c r="M275">
        <v>1</v>
      </c>
      <c r="N27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7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75" s="5">
        <v>1457269300</v>
      </c>
      <c r="Q275" t="str">
        <f>IF(OR(digital_banking_transactions3[[#This Row],[Nominal_Bersih]]&lt;0,digital_banking_transactions3[[#This Row],[Nominal_Bersih]]=0),"Invalid","Valid")</f>
        <v>Valid</v>
      </c>
      <c r="R27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45420</v>
      </c>
      <c r="S275" s="1" t="str">
        <f>TEXT(digital_banking_transactions3[[#This Row],[Tanggal_Bersih]],"MMMM YYYY")</f>
        <v>May 2024</v>
      </c>
      <c r="T27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7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76" spans="1:21" x14ac:dyDescent="0.35">
      <c r="A276" s="1" t="s">
        <v>1180</v>
      </c>
      <c r="B276" s="1" t="s">
        <v>1181</v>
      </c>
      <c r="C276" s="1" t="s">
        <v>1182</v>
      </c>
      <c r="D276" s="1" t="s">
        <v>75</v>
      </c>
      <c r="E276" s="1" t="s">
        <v>32</v>
      </c>
      <c r="F276" s="4">
        <v>308355</v>
      </c>
      <c r="G276" s="1" t="s">
        <v>105</v>
      </c>
      <c r="H276" s="1" t="s">
        <v>60</v>
      </c>
      <c r="I276" s="1" t="s">
        <v>21</v>
      </c>
      <c r="J276" s="1" t="s">
        <v>79</v>
      </c>
      <c r="L276">
        <v>849</v>
      </c>
      <c r="M276">
        <v>0</v>
      </c>
      <c r="N27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7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76" s="5">
        <v>308355</v>
      </c>
      <c r="Q276" t="str">
        <f>IF(OR(digital_banking_transactions3[[#This Row],[Nominal_Bersih]]&lt;0,digital_banking_transactions3[[#This Row],[Nominal_Bersih]]=0),"Invalid","Valid")</f>
        <v>Valid</v>
      </c>
      <c r="R27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45544</v>
      </c>
      <c r="S276" s="1" t="str">
        <f>TEXT(digital_banking_transactions3[[#This Row],[Tanggal_Bersih]],"MMMM YYYY")</f>
        <v>September 2024</v>
      </c>
      <c r="T27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7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77" spans="1:21" x14ac:dyDescent="0.35">
      <c r="A277" s="1" t="s">
        <v>1184</v>
      </c>
      <c r="B277" s="1" t="s">
        <v>1185</v>
      </c>
      <c r="C277" s="1" t="s">
        <v>1186</v>
      </c>
      <c r="D277" s="1" t="s">
        <v>58</v>
      </c>
      <c r="E277" s="1" t="s">
        <v>32</v>
      </c>
      <c r="F277" s="1" t="s">
        <v>1187</v>
      </c>
      <c r="G277" s="1" t="s">
        <v>65</v>
      </c>
      <c r="H277" s="1" t="s">
        <v>106</v>
      </c>
      <c r="I277" s="1" t="s">
        <v>21</v>
      </c>
      <c r="J277" s="1" t="s">
        <v>21</v>
      </c>
      <c r="K277">
        <v>0</v>
      </c>
      <c r="L277">
        <v>3744</v>
      </c>
      <c r="M277">
        <v>1</v>
      </c>
      <c r="N27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7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77" s="5" t="s">
        <v>1187</v>
      </c>
      <c r="Q277" t="str">
        <f>IF(OR(digital_banking_transactions3[[#This Row],[Nominal_Bersih]]&lt;0,digital_banking_transactions3[[#This Row],[Nominal_Bersih]]=0),"Invalid","Valid")</f>
        <v>Valid</v>
      </c>
      <c r="R27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45605</v>
      </c>
      <c r="S277" s="1" t="str">
        <f>TEXT(digital_banking_transactions3[[#This Row],[Tanggal_Bersih]],"MMMM YYYY")</f>
        <v>November 2024</v>
      </c>
      <c r="T27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7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78" spans="1:21" x14ac:dyDescent="0.35">
      <c r="A278" s="1" t="s">
        <v>1188</v>
      </c>
      <c r="B278" s="1" t="s">
        <v>1189</v>
      </c>
      <c r="C278" s="1" t="s">
        <v>1190</v>
      </c>
      <c r="D278" s="1" t="s">
        <v>16</v>
      </c>
      <c r="E278" s="1" t="s">
        <v>39</v>
      </c>
      <c r="F278" s="1">
        <v>9810585</v>
      </c>
      <c r="G278" s="1" t="s">
        <v>48</v>
      </c>
      <c r="H278" s="1" t="s">
        <v>60</v>
      </c>
      <c r="I278" s="1" t="s">
        <v>21</v>
      </c>
      <c r="J278" s="1" t="s">
        <v>21</v>
      </c>
      <c r="K278">
        <v>7500</v>
      </c>
      <c r="L278">
        <v>2974</v>
      </c>
      <c r="M278">
        <v>0</v>
      </c>
      <c r="N27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7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78" s="5">
        <v>9810585</v>
      </c>
      <c r="Q278" t="str">
        <f>IF(OR(digital_banking_transactions3[[#This Row],[Nominal_Bersih]]&lt;0,digital_banking_transactions3[[#This Row],[Nominal_Bersih]]=0),"Invalid","Valid")</f>
        <v>Valid</v>
      </c>
      <c r="R27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45390</v>
      </c>
      <c r="S278" s="1" t="str">
        <f>TEXT(digital_banking_transactions3[[#This Row],[Tanggal_Bersih]],"MMMM YYYY")</f>
        <v>April 2024</v>
      </c>
      <c r="T27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7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79" spans="1:21" x14ac:dyDescent="0.35">
      <c r="A279" s="1" t="s">
        <v>1193</v>
      </c>
      <c r="B279" s="1" t="s">
        <v>1194</v>
      </c>
      <c r="C279" s="1" t="s">
        <v>1195</v>
      </c>
      <c r="D279" s="1" t="s">
        <v>284</v>
      </c>
      <c r="E279" s="1" t="s">
        <v>39</v>
      </c>
      <c r="F279" s="1">
        <v>35415656</v>
      </c>
      <c r="G279" s="1" t="s">
        <v>126</v>
      </c>
      <c r="H279" s="1" t="s">
        <v>77</v>
      </c>
      <c r="I279" s="1" t="s">
        <v>21</v>
      </c>
      <c r="J279" s="1" t="s">
        <v>21</v>
      </c>
      <c r="K279">
        <v>7500</v>
      </c>
      <c r="L279">
        <v>1843</v>
      </c>
      <c r="M279">
        <v>0</v>
      </c>
      <c r="N27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7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79" s="5">
        <v>35415656</v>
      </c>
      <c r="Q279" t="str">
        <f>IF(OR(digital_banking_transactions3[[#This Row],[Nominal_Bersih]]&lt;0,digital_banking_transactions3[[#This Row],[Nominal_Bersih]]=0),"Invalid","Valid")</f>
        <v>Valid</v>
      </c>
      <c r="R27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45445</v>
      </c>
      <c r="S279" s="1" t="str">
        <f>TEXT(digital_banking_transactions3[[#This Row],[Tanggal_Bersih]],"MMMM YYYY")</f>
        <v>June 2024</v>
      </c>
      <c r="T27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7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80" spans="1:21" x14ac:dyDescent="0.35">
      <c r="A280" s="1" t="s">
        <v>1197</v>
      </c>
      <c r="B280" s="1" t="s">
        <v>1198</v>
      </c>
      <c r="C280" s="1" t="s">
        <v>1199</v>
      </c>
      <c r="D280" s="1" t="s">
        <v>58</v>
      </c>
      <c r="E280" s="1" t="s">
        <v>17</v>
      </c>
      <c r="F280" s="1">
        <v>427187</v>
      </c>
      <c r="G280" s="1" t="s">
        <v>105</v>
      </c>
      <c r="H280" s="1" t="s">
        <v>42</v>
      </c>
      <c r="I280" s="1" t="s">
        <v>21</v>
      </c>
      <c r="J280" s="1" t="s">
        <v>21</v>
      </c>
      <c r="K280">
        <v>2500</v>
      </c>
      <c r="L280">
        <v>998</v>
      </c>
      <c r="M280">
        <v>0</v>
      </c>
      <c r="N28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8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80" s="5">
        <v>427187</v>
      </c>
      <c r="Q280" t="str">
        <f>IF(OR(digital_banking_transactions3[[#This Row],[Nominal_Bersih]]&lt;0,digital_banking_transactions3[[#This Row],[Nominal_Bersih]]=0),"Invalid","Valid")</f>
        <v>Valid</v>
      </c>
      <c r="R28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45644</v>
      </c>
      <c r="S280" s="1" t="str">
        <f>TEXT(digital_banking_transactions3[[#This Row],[Tanggal_Bersih]],"MMMM YYYY")</f>
        <v>December 2024</v>
      </c>
      <c r="T28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8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81" spans="1:21" x14ac:dyDescent="0.35">
      <c r="A281" s="1" t="s">
        <v>1201</v>
      </c>
      <c r="B281" s="1" t="s">
        <v>257</v>
      </c>
      <c r="C281" s="1" t="s">
        <v>1202</v>
      </c>
      <c r="D281" s="1" t="s">
        <v>25</v>
      </c>
      <c r="E281" s="1" t="s">
        <v>94</v>
      </c>
      <c r="F281" s="1">
        <v>38040403</v>
      </c>
      <c r="G281" s="1" t="s">
        <v>48</v>
      </c>
      <c r="H281" s="1" t="s">
        <v>106</v>
      </c>
      <c r="I281" s="1" t="s">
        <v>21</v>
      </c>
      <c r="J281" s="1" t="s">
        <v>21</v>
      </c>
      <c r="K281">
        <v>1500</v>
      </c>
      <c r="L281">
        <v>3425</v>
      </c>
      <c r="M281">
        <v>1</v>
      </c>
      <c r="N28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8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81" s="5">
        <v>38040403</v>
      </c>
      <c r="Q281" t="str">
        <f>IF(OR(digital_banking_transactions3[[#This Row],[Nominal_Bersih]]&lt;0,digital_banking_transactions3[[#This Row],[Nominal_Bersih]]=0),"Invalid","Valid")</f>
        <v>Valid</v>
      </c>
      <c r="R28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45346</v>
      </c>
      <c r="S281" s="1" t="str">
        <f>TEXT(digital_banking_transactions3[[#This Row],[Tanggal_Bersih]],"MMMM YYYY")</f>
        <v>February 2024</v>
      </c>
      <c r="T28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8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82" spans="1:21" x14ac:dyDescent="0.35">
      <c r="A282" s="1" t="s">
        <v>1204</v>
      </c>
      <c r="B282" s="1" t="s">
        <v>1205</v>
      </c>
      <c r="C282" s="1" t="s">
        <v>1206</v>
      </c>
      <c r="D282" s="1" t="s">
        <v>546</v>
      </c>
      <c r="E282" s="1" t="s">
        <v>32</v>
      </c>
      <c r="F282" s="1" t="s">
        <v>1207</v>
      </c>
      <c r="G282" s="1" t="s">
        <v>65</v>
      </c>
      <c r="H282" s="1" t="s">
        <v>106</v>
      </c>
      <c r="I282" s="1" t="s">
        <v>21</v>
      </c>
      <c r="J282" s="1" t="s">
        <v>21</v>
      </c>
      <c r="L282">
        <v>1256</v>
      </c>
      <c r="M282">
        <v>0</v>
      </c>
      <c r="N28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8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82" s="5" t="s">
        <v>1207</v>
      </c>
      <c r="Q282" t="str">
        <f>IF(OR(digital_banking_transactions3[[#This Row],[Nominal_Bersih]]&lt;0,digital_banking_transactions3[[#This Row],[Nominal_Bersih]]=0),"Invalid","Valid")</f>
        <v>Valid</v>
      </c>
      <c r="R28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45340</v>
      </c>
      <c r="S282" s="1" t="str">
        <f>TEXT(digital_banking_transactions3[[#This Row],[Tanggal_Bersih]],"MMMM YYYY")</f>
        <v>February 2024</v>
      </c>
      <c r="T28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8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83" spans="1:21" x14ac:dyDescent="0.35">
      <c r="A283" s="1" t="s">
        <v>1208</v>
      </c>
      <c r="B283" s="1" t="s">
        <v>1209</v>
      </c>
      <c r="C283" s="1" t="s">
        <v>1210</v>
      </c>
      <c r="D283" s="1" t="s">
        <v>16</v>
      </c>
      <c r="E283" s="1" t="s">
        <v>94</v>
      </c>
      <c r="F283" s="4">
        <v>40121879</v>
      </c>
      <c r="G283" s="1" t="s">
        <v>41</v>
      </c>
      <c r="H283" s="1" t="s">
        <v>96</v>
      </c>
      <c r="I283" s="1" t="s">
        <v>21</v>
      </c>
      <c r="J283" s="1" t="s">
        <v>21</v>
      </c>
      <c r="K283">
        <v>1500</v>
      </c>
      <c r="L283">
        <v>4040</v>
      </c>
      <c r="M283">
        <v>0</v>
      </c>
      <c r="N28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8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83" s="5">
        <v>40121879</v>
      </c>
      <c r="Q283" t="str">
        <f>IF(OR(digital_banking_transactions3[[#This Row],[Nominal_Bersih]]&lt;0,digital_banking_transactions3[[#This Row],[Nominal_Bersih]]=0),"Invalid","Valid")</f>
        <v>Valid</v>
      </c>
      <c r="R28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45538</v>
      </c>
      <c r="S283" s="1" t="str">
        <f>TEXT(digital_banking_transactions3[[#This Row],[Tanggal_Bersih]],"MMMM YYYY")</f>
        <v>September 2024</v>
      </c>
      <c r="T28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8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84" spans="1:21" x14ac:dyDescent="0.35">
      <c r="A284" s="1" t="s">
        <v>1212</v>
      </c>
      <c r="B284" s="1" t="s">
        <v>1213</v>
      </c>
      <c r="C284" s="1" t="s">
        <v>1214</v>
      </c>
      <c r="D284" s="1" t="s">
        <v>75</v>
      </c>
      <c r="E284" s="1" t="s">
        <v>52</v>
      </c>
      <c r="F284" s="1">
        <v>114397</v>
      </c>
      <c r="G284" s="1" t="s">
        <v>126</v>
      </c>
      <c r="H284" s="1" t="s">
        <v>96</v>
      </c>
      <c r="I284" s="1" t="s">
        <v>66</v>
      </c>
      <c r="J284" s="1" t="s">
        <v>21</v>
      </c>
      <c r="K284">
        <v>6500</v>
      </c>
      <c r="L284">
        <v>1151</v>
      </c>
      <c r="M284">
        <v>0</v>
      </c>
      <c r="N28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8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84" s="5">
        <v>114397</v>
      </c>
      <c r="Q284" t="str">
        <f>IF(OR(digital_banking_transactions3[[#This Row],[Nominal_Bersih]]&lt;0,digital_banking_transactions3[[#This Row],[Nominal_Bersih]]=0),"Invalid","Valid")</f>
        <v>Valid</v>
      </c>
      <c r="R28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45375</v>
      </c>
      <c r="S284" s="1" t="str">
        <f>TEXT(digital_banking_transactions3[[#This Row],[Tanggal_Bersih]],"MMMM YYYY")</f>
        <v>March 2024</v>
      </c>
      <c r="T28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8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85" spans="1:21" x14ac:dyDescent="0.35">
      <c r="A285" s="1" t="s">
        <v>1216</v>
      </c>
      <c r="B285" s="1" t="s">
        <v>789</v>
      </c>
      <c r="C285" s="1" t="s">
        <v>1217</v>
      </c>
      <c r="D285" s="1" t="s">
        <v>254</v>
      </c>
      <c r="E285" s="1" t="s">
        <v>17</v>
      </c>
      <c r="F285" s="1" t="s">
        <v>1218</v>
      </c>
      <c r="G285" s="1" t="s">
        <v>89</v>
      </c>
      <c r="H285" s="1" t="s">
        <v>77</v>
      </c>
      <c r="I285" s="1" t="s">
        <v>21</v>
      </c>
      <c r="J285" s="1" t="s">
        <v>121</v>
      </c>
      <c r="K285">
        <v>2500</v>
      </c>
      <c r="L285">
        <v>1287</v>
      </c>
      <c r="M285">
        <v>1</v>
      </c>
      <c r="N28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8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85" s="5" t="s">
        <v>1218</v>
      </c>
      <c r="Q285" t="str">
        <f>IF(OR(digital_banking_transactions3[[#This Row],[Nominal_Bersih]]&lt;0,digital_banking_transactions3[[#This Row],[Nominal_Bersih]]=0),"Invalid","Valid")</f>
        <v>Valid</v>
      </c>
      <c r="R28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45648</v>
      </c>
      <c r="S285" s="1" t="str">
        <f>TEXT(digital_banking_transactions3[[#This Row],[Tanggal_Bersih]],"MMMM YYYY")</f>
        <v>December 2024</v>
      </c>
      <c r="T28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8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86" spans="1:21" x14ac:dyDescent="0.35">
      <c r="A286" s="1" t="s">
        <v>1219</v>
      </c>
      <c r="B286" s="1" t="s">
        <v>1220</v>
      </c>
      <c r="C286" s="1" t="s">
        <v>1221</v>
      </c>
      <c r="D286" s="1" t="s">
        <v>58</v>
      </c>
      <c r="E286" s="1" t="s">
        <v>17</v>
      </c>
      <c r="F286" s="4">
        <v>1307811</v>
      </c>
      <c r="G286" s="1" t="s">
        <v>485</v>
      </c>
      <c r="H286" s="1" t="s">
        <v>106</v>
      </c>
      <c r="I286" s="1" t="s">
        <v>21</v>
      </c>
      <c r="J286" s="1" t="s">
        <v>21</v>
      </c>
      <c r="K286">
        <v>2500</v>
      </c>
      <c r="L286">
        <v>80781</v>
      </c>
      <c r="M286">
        <v>1</v>
      </c>
      <c r="N28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8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86" s="5">
        <v>1307811</v>
      </c>
      <c r="Q286" t="str">
        <f>IF(OR(digital_banking_transactions3[[#This Row],[Nominal_Bersih]]&lt;0,digital_banking_transactions3[[#This Row],[Nominal_Bersih]]=0),"Invalid","Valid")</f>
        <v>Valid</v>
      </c>
      <c r="R28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45359</v>
      </c>
      <c r="S286" s="1" t="str">
        <f>TEXT(digital_banking_transactions3[[#This Row],[Tanggal_Bersih]],"MMMM YYYY")</f>
        <v>March 2024</v>
      </c>
      <c r="T28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8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287" spans="1:21" x14ac:dyDescent="0.35">
      <c r="A287" s="1" t="s">
        <v>1224</v>
      </c>
      <c r="B287" s="1" t="s">
        <v>1225</v>
      </c>
      <c r="C287" s="1" t="s">
        <v>1226</v>
      </c>
      <c r="D287" s="1" t="s">
        <v>25</v>
      </c>
      <c r="E287" s="1" t="s">
        <v>52</v>
      </c>
      <c r="F287" s="1" t="s">
        <v>1227</v>
      </c>
      <c r="G287" s="1" t="s">
        <v>126</v>
      </c>
      <c r="H287" s="1" t="s">
        <v>106</v>
      </c>
      <c r="I287" s="1" t="s">
        <v>66</v>
      </c>
      <c r="J287" s="1" t="s">
        <v>21</v>
      </c>
      <c r="K287">
        <v>6500</v>
      </c>
      <c r="L287">
        <v>3418</v>
      </c>
      <c r="M287">
        <v>0</v>
      </c>
      <c r="N28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8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87" s="5" t="s">
        <v>1227</v>
      </c>
      <c r="Q287" t="str">
        <f>IF(OR(digital_banking_transactions3[[#This Row],[Nominal_Bersih]]&lt;0,digital_banking_transactions3[[#This Row],[Nominal_Bersih]]=0),"Invalid","Valid")</f>
        <v>Valid</v>
      </c>
      <c r="R28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45609</v>
      </c>
      <c r="S287" s="1" t="str">
        <f>TEXT(digital_banking_transactions3[[#This Row],[Tanggal_Bersih]],"MMMM YYYY")</f>
        <v>November 2024</v>
      </c>
      <c r="T28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8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88" spans="1:21" x14ac:dyDescent="0.35">
      <c r="A288" s="1" t="s">
        <v>1228</v>
      </c>
      <c r="B288" s="1" t="s">
        <v>1088</v>
      </c>
      <c r="C288" s="1" t="s">
        <v>1229</v>
      </c>
      <c r="D288" s="1" t="s">
        <v>25</v>
      </c>
      <c r="E288" s="1" t="s">
        <v>52</v>
      </c>
      <c r="F288" s="1" t="s">
        <v>1230</v>
      </c>
      <c r="G288" s="1" t="s">
        <v>65</v>
      </c>
      <c r="H288" s="1" t="s">
        <v>54</v>
      </c>
      <c r="I288" s="1" t="s">
        <v>291</v>
      </c>
      <c r="J288" s="1" t="s">
        <v>79</v>
      </c>
      <c r="K288">
        <v>6500</v>
      </c>
      <c r="L288">
        <v>3300</v>
      </c>
      <c r="M288">
        <v>0</v>
      </c>
      <c r="N28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8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88" s="5" t="s">
        <v>1230</v>
      </c>
      <c r="Q288" t="str">
        <f>IF(OR(digital_banking_transactions3[[#This Row],[Nominal_Bersih]]&lt;0,digital_banking_transactions3[[#This Row],[Nominal_Bersih]]=0),"Invalid","Valid")</f>
        <v>Valid</v>
      </c>
      <c r="R28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45323</v>
      </c>
      <c r="S288" s="1" t="str">
        <f>TEXT(digital_banking_transactions3[[#This Row],[Tanggal_Bersih]],"MMMM YYYY")</f>
        <v>February 2024</v>
      </c>
      <c r="T28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8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89" spans="1:21" x14ac:dyDescent="0.35">
      <c r="A289" s="1" t="s">
        <v>1231</v>
      </c>
      <c r="B289" s="1" t="s">
        <v>1232</v>
      </c>
      <c r="C289" s="1" t="s">
        <v>1233</v>
      </c>
      <c r="D289" s="1" t="s">
        <v>75</v>
      </c>
      <c r="E289" s="1" t="s">
        <v>39</v>
      </c>
      <c r="F289" s="1" t="s">
        <v>1234</v>
      </c>
      <c r="G289" s="1" t="s">
        <v>126</v>
      </c>
      <c r="H289" s="1" t="s">
        <v>60</v>
      </c>
      <c r="I289" s="1" t="s">
        <v>21</v>
      </c>
      <c r="J289" s="1" t="s">
        <v>21</v>
      </c>
      <c r="K289">
        <v>7500</v>
      </c>
      <c r="L289">
        <v>3687</v>
      </c>
      <c r="M289">
        <v>0</v>
      </c>
      <c r="N28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8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89" s="5" t="s">
        <v>1234</v>
      </c>
      <c r="Q289" t="str">
        <f>IF(OR(digital_banking_transactions3[[#This Row],[Nominal_Bersih]]&lt;0,digital_banking_transactions3[[#This Row],[Nominal_Bersih]]=0),"Invalid","Valid")</f>
        <v>Valid</v>
      </c>
      <c r="R28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45576</v>
      </c>
      <c r="S289" s="1" t="str">
        <f>TEXT(digital_banking_transactions3[[#This Row],[Tanggal_Bersih]],"MMMM YYYY")</f>
        <v>October 2024</v>
      </c>
      <c r="T28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8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90" spans="1:21" x14ac:dyDescent="0.35">
      <c r="A290" s="1" t="s">
        <v>1235</v>
      </c>
      <c r="B290" s="1" t="s">
        <v>1236</v>
      </c>
      <c r="C290" s="1" t="s">
        <v>1237</v>
      </c>
      <c r="D290" s="1" t="s">
        <v>25</v>
      </c>
      <c r="E290" s="1" t="s">
        <v>39</v>
      </c>
      <c r="F290" s="4">
        <v>460213</v>
      </c>
      <c r="G290" s="1" t="s">
        <v>41</v>
      </c>
      <c r="H290" s="1" t="s">
        <v>20</v>
      </c>
      <c r="I290" s="1" t="s">
        <v>21</v>
      </c>
      <c r="J290" s="1" t="s">
        <v>21</v>
      </c>
      <c r="K290">
        <v>7500</v>
      </c>
      <c r="L290">
        <v>2334</v>
      </c>
      <c r="M290">
        <v>0</v>
      </c>
      <c r="N29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9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90" s="5">
        <v>460213</v>
      </c>
      <c r="Q290" t="str">
        <f>IF(OR(digital_banking_transactions3[[#This Row],[Nominal_Bersih]]&lt;0,digital_banking_transactions3[[#This Row],[Nominal_Bersih]]=0),"Invalid","Valid")</f>
        <v>Valid</v>
      </c>
      <c r="R29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45448</v>
      </c>
      <c r="S290" s="1" t="str">
        <f>TEXT(digital_banking_transactions3[[#This Row],[Tanggal_Bersih]],"MMMM YYYY")</f>
        <v>June 2024</v>
      </c>
      <c r="T29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29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91" spans="1:21" x14ac:dyDescent="0.35">
      <c r="A291" s="1" t="s">
        <v>1239</v>
      </c>
      <c r="B291" s="1" t="s">
        <v>670</v>
      </c>
      <c r="C291" s="1" t="s">
        <v>1240</v>
      </c>
      <c r="D291" s="1" t="s">
        <v>46</v>
      </c>
      <c r="E291" s="1" t="s">
        <v>52</v>
      </c>
      <c r="F291" s="1" t="s">
        <v>1241</v>
      </c>
      <c r="G291" s="1" t="s">
        <v>34</v>
      </c>
      <c r="H291" s="1" t="s">
        <v>35</v>
      </c>
      <c r="I291" s="1" t="s">
        <v>291</v>
      </c>
      <c r="J291" s="1" t="s">
        <v>21</v>
      </c>
      <c r="K291">
        <v>6500</v>
      </c>
      <c r="L291">
        <v>1634</v>
      </c>
      <c r="M291">
        <v>0</v>
      </c>
      <c r="N29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29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91" s="5" t="s">
        <v>1241</v>
      </c>
      <c r="Q291" t="str">
        <f>IF(OR(digital_banking_transactions3[[#This Row],[Nominal_Bersih]]&lt;0,digital_banking_transactions3[[#This Row],[Nominal_Bersih]]=0),"Invalid","Valid")</f>
        <v>Valid</v>
      </c>
      <c r="R29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45314</v>
      </c>
      <c r="S291" s="1" t="str">
        <f>TEXT(digital_banking_transactions3[[#This Row],[Tanggal_Bersih]],"MMMM YYYY")</f>
        <v>January 2024</v>
      </c>
      <c r="T29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9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92" spans="1:21" x14ac:dyDescent="0.35">
      <c r="A292" s="1" t="s">
        <v>1242</v>
      </c>
      <c r="B292" s="1" t="s">
        <v>1243</v>
      </c>
      <c r="C292" s="1" t="s">
        <v>1244</v>
      </c>
      <c r="D292" s="1" t="s">
        <v>25</v>
      </c>
      <c r="E292" s="1" t="s">
        <v>94</v>
      </c>
      <c r="F292" s="1" t="s">
        <v>1245</v>
      </c>
      <c r="G292" s="1" t="s">
        <v>41</v>
      </c>
      <c r="H292" s="1" t="s">
        <v>60</v>
      </c>
      <c r="I292" s="1" t="s">
        <v>21</v>
      </c>
      <c r="J292" s="1" t="s">
        <v>286</v>
      </c>
      <c r="K292">
        <v>1500</v>
      </c>
      <c r="L292">
        <v>3105</v>
      </c>
      <c r="M292">
        <v>0</v>
      </c>
      <c r="N29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9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92" s="5" t="s">
        <v>1245</v>
      </c>
      <c r="Q292" t="str">
        <f>IF(OR(digital_banking_transactions3[[#This Row],[Nominal_Bersih]]&lt;0,digital_banking_transactions3[[#This Row],[Nominal_Bersih]]=0),"Invalid","Valid")</f>
        <v>Valid</v>
      </c>
      <c r="R29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45588</v>
      </c>
      <c r="S292" s="1" t="str">
        <f>TEXT(digital_banking_transactions3[[#This Row],[Tanggal_Bersih]],"MMMM YYYY")</f>
        <v>October 2024</v>
      </c>
      <c r="T29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9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93" spans="1:21" x14ac:dyDescent="0.35">
      <c r="A293" s="1" t="s">
        <v>1246</v>
      </c>
      <c r="B293" s="1" t="s">
        <v>330</v>
      </c>
      <c r="C293" s="1" t="s">
        <v>1247</v>
      </c>
      <c r="D293" s="1" t="s">
        <v>25</v>
      </c>
      <c r="E293" s="1" t="s">
        <v>17</v>
      </c>
      <c r="F293" s="1">
        <v>30734358</v>
      </c>
      <c r="G293" s="1" t="s">
        <v>41</v>
      </c>
      <c r="H293" s="1" t="s">
        <v>77</v>
      </c>
      <c r="I293" s="1" t="s">
        <v>21</v>
      </c>
      <c r="J293" s="1" t="s">
        <v>71</v>
      </c>
      <c r="L293">
        <v>610</v>
      </c>
      <c r="M293">
        <v>0</v>
      </c>
      <c r="N29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9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93" s="5">
        <v>30734358</v>
      </c>
      <c r="Q293" t="str">
        <f>IF(OR(digital_banking_transactions3[[#This Row],[Nominal_Bersih]]&lt;0,digital_banking_transactions3[[#This Row],[Nominal_Bersih]]=0),"Invalid","Valid")</f>
        <v>Valid</v>
      </c>
      <c r="R29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45534</v>
      </c>
      <c r="S293" s="1" t="str">
        <f>TEXT(digital_banking_transactions3[[#This Row],[Tanggal_Bersih]],"MMMM YYYY")</f>
        <v>August 2024</v>
      </c>
      <c r="T29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9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94" spans="1:21" x14ac:dyDescent="0.35">
      <c r="A294" s="1" t="s">
        <v>1249</v>
      </c>
      <c r="B294" s="1" t="s">
        <v>1250</v>
      </c>
      <c r="C294" s="1" t="s">
        <v>1251</v>
      </c>
      <c r="D294" s="1" t="s">
        <v>25</v>
      </c>
      <c r="E294" s="1" t="s">
        <v>17</v>
      </c>
      <c r="F294" s="1" t="s">
        <v>1252</v>
      </c>
      <c r="G294" s="1" t="s">
        <v>41</v>
      </c>
      <c r="H294" s="1" t="s">
        <v>54</v>
      </c>
      <c r="I294" s="1" t="s">
        <v>21</v>
      </c>
      <c r="J294" s="1" t="s">
        <v>121</v>
      </c>
      <c r="K294">
        <v>2500</v>
      </c>
      <c r="L294">
        <v>2491</v>
      </c>
      <c r="M294">
        <v>0</v>
      </c>
      <c r="N29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9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94" s="5" t="s">
        <v>1252</v>
      </c>
      <c r="Q294" t="str">
        <f>IF(OR(digital_banking_transactions3[[#This Row],[Nominal_Bersih]]&lt;0,digital_banking_transactions3[[#This Row],[Nominal_Bersih]]=0),"Invalid","Valid")</f>
        <v>Valid</v>
      </c>
      <c r="R29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45324</v>
      </c>
      <c r="S294" s="1" t="str">
        <f>TEXT(digital_banking_transactions3[[#This Row],[Tanggal_Bersih]],"MMMM YYYY")</f>
        <v>February 2024</v>
      </c>
      <c r="T29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9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95" spans="1:21" x14ac:dyDescent="0.35">
      <c r="A295" s="1" t="s">
        <v>1253</v>
      </c>
      <c r="B295" s="1" t="s">
        <v>1254</v>
      </c>
      <c r="C295" s="1" t="s">
        <v>1255</v>
      </c>
      <c r="D295" s="1" t="s">
        <v>75</v>
      </c>
      <c r="E295" s="1" t="s">
        <v>32</v>
      </c>
      <c r="F295" s="1" t="s">
        <v>1256</v>
      </c>
      <c r="G295" s="1" t="s">
        <v>65</v>
      </c>
      <c r="H295" s="1" t="s">
        <v>20</v>
      </c>
      <c r="I295" s="1" t="s">
        <v>21</v>
      </c>
      <c r="J295" s="1" t="s">
        <v>121</v>
      </c>
      <c r="K295">
        <v>0</v>
      </c>
      <c r="L295">
        <v>1420</v>
      </c>
      <c r="M295">
        <v>0</v>
      </c>
      <c r="N29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9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295" s="5" t="s">
        <v>1256</v>
      </c>
      <c r="Q295" t="str">
        <f>IF(OR(digital_banking_transactions3[[#This Row],[Nominal_Bersih]]&lt;0,digital_banking_transactions3[[#This Row],[Nominal_Bersih]]=0),"Invalid","Valid")</f>
        <v>Valid</v>
      </c>
      <c r="R29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45379</v>
      </c>
      <c r="S295" s="1" t="str">
        <f>TEXT(digital_banking_transactions3[[#This Row],[Tanggal_Bersih]],"MMMM YYYY")</f>
        <v>March 2024</v>
      </c>
      <c r="T29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9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96" spans="1:21" x14ac:dyDescent="0.35">
      <c r="A296" s="1" t="s">
        <v>1257</v>
      </c>
      <c r="B296" s="1" t="s">
        <v>833</v>
      </c>
      <c r="C296" s="1" t="s">
        <v>1258</v>
      </c>
      <c r="D296" s="1" t="s">
        <v>16</v>
      </c>
      <c r="E296" s="1" t="s">
        <v>94</v>
      </c>
      <c r="F296" s="4">
        <v>3006625</v>
      </c>
      <c r="G296" s="1" t="s">
        <v>264</v>
      </c>
      <c r="H296" s="1" t="s">
        <v>42</v>
      </c>
      <c r="I296" s="1" t="s">
        <v>21</v>
      </c>
      <c r="J296" s="1" t="s">
        <v>21</v>
      </c>
      <c r="K296">
        <v>1500</v>
      </c>
      <c r="L296">
        <v>2191</v>
      </c>
      <c r="M296">
        <v>0</v>
      </c>
      <c r="N29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9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296" s="5">
        <v>3006625</v>
      </c>
      <c r="Q296" t="str">
        <f>IF(OR(digital_banking_transactions3[[#This Row],[Nominal_Bersih]]&lt;0,digital_banking_transactions3[[#This Row],[Nominal_Bersih]]=0),"Invalid","Valid")</f>
        <v>Valid</v>
      </c>
      <c r="R29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45373</v>
      </c>
      <c r="S296" s="1" t="str">
        <f>TEXT(digital_banking_transactions3[[#This Row],[Tanggal_Bersih]],"MMMM YYYY")</f>
        <v>March 2024</v>
      </c>
      <c r="T29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29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97" spans="1:21" x14ac:dyDescent="0.35">
      <c r="A297" s="1" t="s">
        <v>1260</v>
      </c>
      <c r="B297" s="1" t="s">
        <v>1261</v>
      </c>
      <c r="C297" s="1" t="s">
        <v>1262</v>
      </c>
      <c r="D297" s="1" t="s">
        <v>46</v>
      </c>
      <c r="E297" s="1" t="s">
        <v>17</v>
      </c>
      <c r="F297" s="1" t="s">
        <v>1263</v>
      </c>
      <c r="G297" s="1" t="s">
        <v>65</v>
      </c>
      <c r="H297" s="1" t="s">
        <v>35</v>
      </c>
      <c r="I297" s="1" t="s">
        <v>21</v>
      </c>
      <c r="J297" s="1" t="s">
        <v>21</v>
      </c>
      <c r="K297">
        <v>2500</v>
      </c>
      <c r="L297">
        <v>2053</v>
      </c>
      <c r="M297">
        <v>0</v>
      </c>
      <c r="N29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29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97" s="5" t="s">
        <v>1263</v>
      </c>
      <c r="Q297" t="str">
        <f>IF(OR(digital_banking_transactions3[[#This Row],[Nominal_Bersih]]&lt;0,digital_banking_transactions3[[#This Row],[Nominal_Bersih]]=0),"Invalid","Valid")</f>
        <v>Valid</v>
      </c>
      <c r="R29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45550</v>
      </c>
      <c r="S297" s="1" t="str">
        <f>TEXT(digital_banking_transactions3[[#This Row],[Tanggal_Bersih]],"MMMM YYYY")</f>
        <v>September 2024</v>
      </c>
      <c r="T29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29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98" spans="1:21" x14ac:dyDescent="0.35">
      <c r="A298" s="1" t="s">
        <v>1264</v>
      </c>
      <c r="B298" s="1" t="s">
        <v>1265</v>
      </c>
      <c r="C298" s="1" t="s">
        <v>1266</v>
      </c>
      <c r="D298" s="1" t="s">
        <v>93</v>
      </c>
      <c r="E298" s="1" t="s">
        <v>52</v>
      </c>
      <c r="F298" s="1">
        <v>40913461</v>
      </c>
      <c r="G298" s="1" t="s">
        <v>41</v>
      </c>
      <c r="H298" s="1" t="s">
        <v>106</v>
      </c>
      <c r="I298" s="1" t="s">
        <v>21</v>
      </c>
      <c r="J298" s="1" t="s">
        <v>21</v>
      </c>
      <c r="K298">
        <v>6500</v>
      </c>
      <c r="L298">
        <v>2571</v>
      </c>
      <c r="M298">
        <v>0</v>
      </c>
      <c r="N29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9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298" s="5">
        <v>40913461</v>
      </c>
      <c r="Q298" t="str">
        <f>IF(OR(digital_banking_transactions3[[#This Row],[Nominal_Bersih]]&lt;0,digital_banking_transactions3[[#This Row],[Nominal_Bersih]]=0),"Invalid","Valid")</f>
        <v>Valid</v>
      </c>
      <c r="R29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45625</v>
      </c>
      <c r="S298" s="1" t="str">
        <f>TEXT(digital_banking_transactions3[[#This Row],[Tanggal_Bersih]],"MMMM YYYY")</f>
        <v>November 2024</v>
      </c>
      <c r="T29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9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299" spans="1:21" x14ac:dyDescent="0.35">
      <c r="A299" s="1" t="s">
        <v>1268</v>
      </c>
      <c r="B299" s="1" t="s">
        <v>589</v>
      </c>
      <c r="C299" s="1" t="s">
        <v>1269</v>
      </c>
      <c r="D299" s="1" t="s">
        <v>58</v>
      </c>
      <c r="E299" s="1" t="s">
        <v>39</v>
      </c>
      <c r="F299" s="1" t="s">
        <v>1270</v>
      </c>
      <c r="G299" s="1" t="s">
        <v>41</v>
      </c>
      <c r="H299" s="1" t="s">
        <v>60</v>
      </c>
      <c r="I299" s="1" t="s">
        <v>21</v>
      </c>
      <c r="J299" s="1" t="s">
        <v>21</v>
      </c>
      <c r="K299">
        <v>7500</v>
      </c>
      <c r="L299">
        <v>1747</v>
      </c>
      <c r="M299">
        <v>0</v>
      </c>
      <c r="N29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29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299" s="5" t="s">
        <v>1270</v>
      </c>
      <c r="Q299" t="str">
        <f>IF(OR(digital_banking_transactions3[[#This Row],[Nominal_Bersih]]&lt;0,digital_banking_transactions3[[#This Row],[Nominal_Bersih]]=0),"Invalid","Valid")</f>
        <v>Valid</v>
      </c>
      <c r="R29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45566</v>
      </c>
      <c r="S299" s="1" t="str">
        <f>TEXT(digital_banking_transactions3[[#This Row],[Tanggal_Bersih]],"MMMM YYYY")</f>
        <v>October 2024</v>
      </c>
      <c r="T29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29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00" spans="1:21" x14ac:dyDescent="0.35">
      <c r="A300" s="1" t="s">
        <v>1271</v>
      </c>
      <c r="B300" s="1" t="s">
        <v>1272</v>
      </c>
      <c r="C300" s="1" t="s">
        <v>1273</v>
      </c>
      <c r="D300" s="1" t="s">
        <v>16</v>
      </c>
      <c r="E300" s="1" t="s">
        <v>17</v>
      </c>
      <c r="F300" s="1" t="s">
        <v>1274</v>
      </c>
      <c r="G300" s="1" t="s">
        <v>264</v>
      </c>
      <c r="H300" s="1" t="s">
        <v>96</v>
      </c>
      <c r="I300" s="1" t="s">
        <v>21</v>
      </c>
      <c r="J300" s="1" t="s">
        <v>21</v>
      </c>
      <c r="L300">
        <v>2345</v>
      </c>
      <c r="M300">
        <v>1</v>
      </c>
      <c r="N30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0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00" s="5" t="s">
        <v>1274</v>
      </c>
      <c r="Q300" t="str">
        <f>IF(OR(digital_banking_transactions3[[#This Row],[Nominal_Bersih]]&lt;0,digital_banking_transactions3[[#This Row],[Nominal_Bersih]]=0),"Invalid","Valid")</f>
        <v>Valid</v>
      </c>
      <c r="R30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45351</v>
      </c>
      <c r="S300" s="1" t="str">
        <f>TEXT(digital_banking_transactions3[[#This Row],[Tanggal_Bersih]],"MMMM YYYY")</f>
        <v>February 2024</v>
      </c>
      <c r="T30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0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01" spans="1:21" x14ac:dyDescent="0.35">
      <c r="A301" s="1" t="s">
        <v>1275</v>
      </c>
      <c r="B301" s="1" t="s">
        <v>1276</v>
      </c>
      <c r="C301" s="1" t="s">
        <v>1277</v>
      </c>
      <c r="D301" s="1" t="s">
        <v>25</v>
      </c>
      <c r="E301" s="1" t="s">
        <v>32</v>
      </c>
      <c r="F301" s="4">
        <v>468629</v>
      </c>
      <c r="G301" s="1" t="s">
        <v>105</v>
      </c>
      <c r="H301" s="1" t="s">
        <v>42</v>
      </c>
      <c r="I301" s="1" t="s">
        <v>21</v>
      </c>
      <c r="J301" s="1" t="s">
        <v>21</v>
      </c>
      <c r="K301">
        <v>0</v>
      </c>
      <c r="L301">
        <v>1707</v>
      </c>
      <c r="M301">
        <v>1</v>
      </c>
      <c r="N30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0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01" s="5">
        <v>468629</v>
      </c>
      <c r="Q301" t="str">
        <f>IF(OR(digital_banking_transactions3[[#This Row],[Nominal_Bersih]]&lt;0,digital_banking_transactions3[[#This Row],[Nominal_Bersih]]=0),"Invalid","Valid")</f>
        <v>Valid</v>
      </c>
      <c r="R30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45616</v>
      </c>
      <c r="S301" s="1" t="str">
        <f>TEXT(digital_banking_transactions3[[#This Row],[Tanggal_Bersih]],"MMMM YYYY")</f>
        <v>November 2024</v>
      </c>
      <c r="T30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0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02" spans="1:21" x14ac:dyDescent="0.35">
      <c r="A302" s="1" t="s">
        <v>1279</v>
      </c>
      <c r="B302" s="1" t="s">
        <v>1280</v>
      </c>
      <c r="C302" s="1" t="s">
        <v>1281</v>
      </c>
      <c r="D302" s="1" t="s">
        <v>25</v>
      </c>
      <c r="E302" s="1" t="s">
        <v>32</v>
      </c>
      <c r="F302" s="4">
        <v>18769873</v>
      </c>
      <c r="G302" s="1" t="s">
        <v>137</v>
      </c>
      <c r="H302" s="1" t="s">
        <v>60</v>
      </c>
      <c r="I302" s="1" t="s">
        <v>21</v>
      </c>
      <c r="J302" s="1" t="s">
        <v>21</v>
      </c>
      <c r="K302">
        <v>0</v>
      </c>
      <c r="L302">
        <v>2759</v>
      </c>
      <c r="M302">
        <v>0</v>
      </c>
      <c r="N30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0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02" s="5">
        <v>18769873</v>
      </c>
      <c r="Q302" t="str">
        <f>IF(OR(digital_banking_transactions3[[#This Row],[Nominal_Bersih]]&lt;0,digital_banking_transactions3[[#This Row],[Nominal_Bersih]]=0),"Invalid","Valid")</f>
        <v>Valid</v>
      </c>
      <c r="R30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45560</v>
      </c>
      <c r="S302" s="1" t="str">
        <f>TEXT(digital_banking_transactions3[[#This Row],[Tanggal_Bersih]],"MMMM YYYY")</f>
        <v>September 2024</v>
      </c>
      <c r="T30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0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03" spans="1:21" x14ac:dyDescent="0.35">
      <c r="A303" s="1" t="s">
        <v>1283</v>
      </c>
      <c r="B303" s="1" t="s">
        <v>1284</v>
      </c>
      <c r="C303" s="1" t="s">
        <v>1285</v>
      </c>
      <c r="D303" s="1" t="s">
        <v>16</v>
      </c>
      <c r="E303" s="1" t="s">
        <v>17</v>
      </c>
      <c r="F303" s="1" t="s">
        <v>1286</v>
      </c>
      <c r="G303" s="1" t="s">
        <v>89</v>
      </c>
      <c r="H303" s="1" t="s">
        <v>60</v>
      </c>
      <c r="I303" s="1" t="s">
        <v>21</v>
      </c>
      <c r="J303" s="1" t="s">
        <v>21</v>
      </c>
      <c r="K303">
        <v>2500</v>
      </c>
      <c r="L303">
        <v>2561</v>
      </c>
      <c r="M303">
        <v>0</v>
      </c>
      <c r="N30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0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03" s="5" t="s">
        <v>1286</v>
      </c>
      <c r="Q303" t="str">
        <f>IF(OR(digital_banking_transactions3[[#This Row],[Nominal_Bersih]]&lt;0,digital_banking_transactions3[[#This Row],[Nominal_Bersih]]=0),"Invalid","Valid")</f>
        <v>Valid</v>
      </c>
      <c r="R30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45342</v>
      </c>
      <c r="S303" s="1" t="str">
        <f>TEXT(digital_banking_transactions3[[#This Row],[Tanggal_Bersih]],"MMMM YYYY")</f>
        <v>February 2024</v>
      </c>
      <c r="T30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0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04" spans="1:21" x14ac:dyDescent="0.35">
      <c r="A304" s="1" t="s">
        <v>1287</v>
      </c>
      <c r="B304" s="1" t="s">
        <v>1288</v>
      </c>
      <c r="C304" s="1" t="s">
        <v>1289</v>
      </c>
      <c r="D304" s="1" t="s">
        <v>25</v>
      </c>
      <c r="E304" s="1" t="s">
        <v>17</v>
      </c>
      <c r="F304" s="1" t="s">
        <v>1290</v>
      </c>
      <c r="G304" s="1" t="s">
        <v>126</v>
      </c>
      <c r="H304" s="1" t="s">
        <v>60</v>
      </c>
      <c r="I304" s="1" t="s">
        <v>21</v>
      </c>
      <c r="J304" s="1" t="s">
        <v>71</v>
      </c>
      <c r="K304">
        <v>2500</v>
      </c>
      <c r="L304">
        <v>1213</v>
      </c>
      <c r="M304">
        <v>0</v>
      </c>
      <c r="N30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0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04" s="5" t="s">
        <v>1290</v>
      </c>
      <c r="Q304" t="str">
        <f>IF(OR(digital_banking_transactions3[[#This Row],[Nominal_Bersih]]&lt;0,digital_banking_transactions3[[#This Row],[Nominal_Bersih]]=0),"Invalid","Valid")</f>
        <v>Valid</v>
      </c>
      <c r="R30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45440</v>
      </c>
      <c r="S304" s="1" t="str">
        <f>TEXT(digital_banking_transactions3[[#This Row],[Tanggal_Bersih]],"MMMM YYYY")</f>
        <v>May 2024</v>
      </c>
      <c r="T30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0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05" spans="1:21" x14ac:dyDescent="0.35">
      <c r="A305" s="1" t="s">
        <v>1291</v>
      </c>
      <c r="B305" s="1" t="s">
        <v>1292</v>
      </c>
      <c r="C305" s="1" t="s">
        <v>1293</v>
      </c>
      <c r="D305" s="1" t="s">
        <v>75</v>
      </c>
      <c r="E305" s="1" t="s">
        <v>32</v>
      </c>
      <c r="F305" s="1" t="s">
        <v>1294</v>
      </c>
      <c r="G305" s="1" t="s">
        <v>105</v>
      </c>
      <c r="H305" s="1" t="s">
        <v>54</v>
      </c>
      <c r="I305" s="1" t="s">
        <v>21</v>
      </c>
      <c r="J305" s="1" t="s">
        <v>286</v>
      </c>
      <c r="K305">
        <v>0</v>
      </c>
      <c r="L305">
        <v>258</v>
      </c>
      <c r="M305">
        <v>0</v>
      </c>
      <c r="N30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0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05" s="5" t="s">
        <v>1294</v>
      </c>
      <c r="Q305" t="str">
        <f>IF(OR(digital_banking_transactions3[[#This Row],[Nominal_Bersih]]&lt;0,digital_banking_transactions3[[#This Row],[Nominal_Bersih]]=0),"Invalid","Valid")</f>
        <v>Valid</v>
      </c>
      <c r="R30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45313</v>
      </c>
      <c r="S305" s="1" t="str">
        <f>TEXT(digital_banking_transactions3[[#This Row],[Tanggal_Bersih]],"MMMM YYYY")</f>
        <v>January 2024</v>
      </c>
      <c r="T30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0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06" spans="1:21" x14ac:dyDescent="0.35">
      <c r="A306" s="1" t="s">
        <v>1295</v>
      </c>
      <c r="B306" s="1" t="s">
        <v>1296</v>
      </c>
      <c r="C306" s="1" t="s">
        <v>1297</v>
      </c>
      <c r="D306" s="1" t="s">
        <v>58</v>
      </c>
      <c r="E306" s="1" t="s">
        <v>94</v>
      </c>
      <c r="F306" s="1">
        <v>134752</v>
      </c>
      <c r="G306" s="1" t="s">
        <v>126</v>
      </c>
      <c r="H306" s="1" t="s">
        <v>20</v>
      </c>
      <c r="I306" s="1" t="s">
        <v>21</v>
      </c>
      <c r="J306" s="1" t="s">
        <v>21</v>
      </c>
      <c r="K306">
        <v>1500</v>
      </c>
      <c r="L306">
        <v>4562</v>
      </c>
      <c r="M306">
        <v>1</v>
      </c>
      <c r="N30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0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06" s="5">
        <v>134752</v>
      </c>
      <c r="Q306" t="str">
        <f>IF(OR(digital_banking_transactions3[[#This Row],[Nominal_Bersih]]&lt;0,digital_banking_transactions3[[#This Row],[Nominal_Bersih]]=0),"Invalid","Valid")</f>
        <v>Valid</v>
      </c>
      <c r="R30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45467</v>
      </c>
      <c r="S306" s="1" t="str">
        <f>TEXT(digital_banking_transactions3[[#This Row],[Tanggal_Bersih]],"MMMM YYYY")</f>
        <v>June 2024</v>
      </c>
      <c r="T30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0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07" spans="1:21" x14ac:dyDescent="0.35">
      <c r="A307" s="1" t="s">
        <v>1299</v>
      </c>
      <c r="B307" s="1" t="s">
        <v>1300</v>
      </c>
      <c r="C307" s="1" t="s">
        <v>1301</v>
      </c>
      <c r="D307" s="1" t="s">
        <v>25</v>
      </c>
      <c r="E307" s="1" t="s">
        <v>39</v>
      </c>
      <c r="F307" s="1">
        <v>19724462</v>
      </c>
      <c r="G307" s="1" t="s">
        <v>65</v>
      </c>
      <c r="H307" s="1" t="s">
        <v>42</v>
      </c>
      <c r="I307" s="1" t="s">
        <v>21</v>
      </c>
      <c r="J307" s="1" t="s">
        <v>71</v>
      </c>
      <c r="K307">
        <v>7500</v>
      </c>
      <c r="L307">
        <v>1742</v>
      </c>
      <c r="M307">
        <v>0</v>
      </c>
      <c r="N30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0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07" s="5">
        <v>19724462</v>
      </c>
      <c r="Q307" t="str">
        <f>IF(OR(digital_banking_transactions3[[#This Row],[Nominal_Bersih]]&lt;0,digital_banking_transactions3[[#This Row],[Nominal_Bersih]]=0),"Invalid","Valid")</f>
        <v>Valid</v>
      </c>
      <c r="R30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45475</v>
      </c>
      <c r="S307" s="1" t="str">
        <f>TEXT(digital_banking_transactions3[[#This Row],[Tanggal_Bersih]],"MMMM YYYY")</f>
        <v>July 2024</v>
      </c>
      <c r="T30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0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08" spans="1:21" x14ac:dyDescent="0.35">
      <c r="A308" s="1" t="s">
        <v>1303</v>
      </c>
      <c r="B308" s="1" t="s">
        <v>1304</v>
      </c>
      <c r="C308" s="1" t="s">
        <v>1305</v>
      </c>
      <c r="D308" s="1" t="s">
        <v>25</v>
      </c>
      <c r="E308" s="1" t="s">
        <v>52</v>
      </c>
      <c r="F308" s="1" t="s">
        <v>1306</v>
      </c>
      <c r="G308" s="1" t="s">
        <v>34</v>
      </c>
      <c r="H308" s="1" t="s">
        <v>20</v>
      </c>
      <c r="I308" s="1" t="s">
        <v>112</v>
      </c>
      <c r="J308" s="1" t="s">
        <v>21</v>
      </c>
      <c r="K308">
        <v>6500</v>
      </c>
      <c r="L308">
        <v>1180</v>
      </c>
      <c r="M308">
        <v>0</v>
      </c>
      <c r="N30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0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08" s="5" t="s">
        <v>1306</v>
      </c>
      <c r="Q308" t="str">
        <f>IF(OR(digital_banking_transactions3[[#This Row],[Nominal_Bersih]]&lt;0,digital_banking_transactions3[[#This Row],[Nominal_Bersih]]=0),"Invalid","Valid")</f>
        <v>Valid</v>
      </c>
      <c r="R30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45340</v>
      </c>
      <c r="S308" s="1" t="str">
        <f>TEXT(digital_banking_transactions3[[#This Row],[Tanggal_Bersih]],"MMMM YYYY")</f>
        <v>February 2024</v>
      </c>
      <c r="T30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0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09" spans="1:21" x14ac:dyDescent="0.35">
      <c r="A309" s="1" t="s">
        <v>1307</v>
      </c>
      <c r="B309" s="1" t="s">
        <v>1308</v>
      </c>
      <c r="C309" s="1" t="s">
        <v>1309</v>
      </c>
      <c r="D309" s="1" t="s">
        <v>75</v>
      </c>
      <c r="E309" s="1" t="s">
        <v>39</v>
      </c>
      <c r="F309" s="1" t="s">
        <v>1310</v>
      </c>
      <c r="G309" s="1" t="s">
        <v>19</v>
      </c>
      <c r="H309" s="1" t="s">
        <v>54</v>
      </c>
      <c r="I309" s="1" t="s">
        <v>21</v>
      </c>
      <c r="J309" s="1" t="s">
        <v>79</v>
      </c>
      <c r="K309">
        <v>7500</v>
      </c>
      <c r="L309">
        <v>631</v>
      </c>
      <c r="M309">
        <v>0</v>
      </c>
      <c r="N30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0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09" s="5" t="s">
        <v>1310</v>
      </c>
      <c r="Q309" t="str">
        <f>IF(OR(digital_banking_transactions3[[#This Row],[Nominal_Bersih]]&lt;0,digital_banking_transactions3[[#This Row],[Nominal_Bersih]]=0),"Invalid","Valid")</f>
        <v>Valid</v>
      </c>
      <c r="R30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45552</v>
      </c>
      <c r="S309" s="1" t="str">
        <f>TEXT(digital_banking_transactions3[[#This Row],[Tanggal_Bersih]],"MMMM YYYY")</f>
        <v>September 2024</v>
      </c>
      <c r="T30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0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10" spans="1:21" x14ac:dyDescent="0.35">
      <c r="A310" s="1" t="s">
        <v>1311</v>
      </c>
      <c r="B310" s="1" t="s">
        <v>1312</v>
      </c>
      <c r="C310" s="1" t="s">
        <v>1313</v>
      </c>
      <c r="D310" s="1" t="s">
        <v>25</v>
      </c>
      <c r="E310" s="1" t="s">
        <v>17</v>
      </c>
      <c r="F310" s="1">
        <v>207767600</v>
      </c>
      <c r="G310" s="1" t="s">
        <v>65</v>
      </c>
      <c r="H310" s="1" t="s">
        <v>106</v>
      </c>
      <c r="I310" s="1" t="s">
        <v>21</v>
      </c>
      <c r="J310" s="1" t="s">
        <v>21</v>
      </c>
      <c r="K310">
        <v>2500</v>
      </c>
      <c r="L310">
        <v>1537</v>
      </c>
      <c r="M310">
        <v>0</v>
      </c>
      <c r="N31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1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10" s="5">
        <v>207767600</v>
      </c>
      <c r="Q310" t="str">
        <f>IF(OR(digital_banking_transactions3[[#This Row],[Nominal_Bersih]]&lt;0,digital_banking_transactions3[[#This Row],[Nominal_Bersih]]=0),"Invalid","Valid")</f>
        <v>Valid</v>
      </c>
      <c r="R31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45602</v>
      </c>
      <c r="S310" s="1" t="str">
        <f>TEXT(digital_banking_transactions3[[#This Row],[Tanggal_Bersih]],"MMMM YYYY")</f>
        <v>November 2024</v>
      </c>
      <c r="T31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1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11" spans="1:21" x14ac:dyDescent="0.35">
      <c r="A311" s="1" t="s">
        <v>1315</v>
      </c>
      <c r="B311" s="1" t="s">
        <v>1316</v>
      </c>
      <c r="C311" s="1" t="s">
        <v>1317</v>
      </c>
      <c r="D311" s="1" t="s">
        <v>93</v>
      </c>
      <c r="E311" s="1" t="s">
        <v>17</v>
      </c>
      <c r="F311" s="1">
        <v>312829</v>
      </c>
      <c r="G311" s="1" t="s">
        <v>41</v>
      </c>
      <c r="H311" s="1" t="s">
        <v>60</v>
      </c>
      <c r="I311" s="1" t="s">
        <v>21</v>
      </c>
      <c r="J311" s="1" t="s">
        <v>79</v>
      </c>
      <c r="K311">
        <v>2500</v>
      </c>
      <c r="L311">
        <v>772</v>
      </c>
      <c r="M311">
        <v>0</v>
      </c>
      <c r="N31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1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11" s="5">
        <v>312829</v>
      </c>
      <c r="Q311" t="str">
        <f>IF(OR(digital_banking_transactions3[[#This Row],[Nominal_Bersih]]&lt;0,digital_banking_transactions3[[#This Row],[Nominal_Bersih]]=0),"Invalid","Valid")</f>
        <v>Valid</v>
      </c>
      <c r="R31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45656</v>
      </c>
      <c r="S311" s="1" t="str">
        <f>TEXT(digital_banking_transactions3[[#This Row],[Tanggal_Bersih]],"MMMM YYYY")</f>
        <v>December 2024</v>
      </c>
      <c r="T31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1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12" spans="1:21" x14ac:dyDescent="0.35">
      <c r="A312" s="1" t="s">
        <v>1319</v>
      </c>
      <c r="B312" s="1" t="s">
        <v>1320</v>
      </c>
      <c r="C312" s="1" t="s">
        <v>1321</v>
      </c>
      <c r="D312" s="1" t="s">
        <v>25</v>
      </c>
      <c r="E312" s="1" t="s">
        <v>52</v>
      </c>
      <c r="F312" s="1">
        <v>33330675</v>
      </c>
      <c r="G312" s="1" t="s">
        <v>126</v>
      </c>
      <c r="H312" s="1" t="s">
        <v>60</v>
      </c>
      <c r="I312" s="1" t="s">
        <v>131</v>
      </c>
      <c r="J312" s="1" t="s">
        <v>208</v>
      </c>
      <c r="K312">
        <v>6500</v>
      </c>
      <c r="L312">
        <v>2357</v>
      </c>
      <c r="M312">
        <v>0</v>
      </c>
      <c r="N31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1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12" s="5">
        <v>33330675</v>
      </c>
      <c r="Q312" t="str">
        <f>IF(OR(digital_banking_transactions3[[#This Row],[Nominal_Bersih]]&lt;0,digital_banking_transactions3[[#This Row],[Nominal_Bersih]]=0),"Invalid","Valid")</f>
        <v>Valid</v>
      </c>
      <c r="R31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45496</v>
      </c>
      <c r="S312" s="1" t="str">
        <f>TEXT(digital_banking_transactions3[[#This Row],[Tanggal_Bersih]],"MMMM YYYY")</f>
        <v>July 2024</v>
      </c>
      <c r="T31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1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13" spans="1:21" x14ac:dyDescent="0.35">
      <c r="A313" s="1" t="s">
        <v>1323</v>
      </c>
      <c r="B313" s="1" t="s">
        <v>1324</v>
      </c>
      <c r="C313" s="1" t="s">
        <v>1325</v>
      </c>
      <c r="D313" s="1" t="s">
        <v>284</v>
      </c>
      <c r="E313" s="1" t="s">
        <v>39</v>
      </c>
      <c r="F313" s="1">
        <v>199724600</v>
      </c>
      <c r="G313" s="1" t="s">
        <v>126</v>
      </c>
      <c r="H313" s="1" t="s">
        <v>35</v>
      </c>
      <c r="I313" s="1" t="s">
        <v>21</v>
      </c>
      <c r="J313" s="1" t="s">
        <v>79</v>
      </c>
      <c r="K313">
        <v>7500</v>
      </c>
      <c r="L313">
        <v>1477</v>
      </c>
      <c r="M313">
        <v>0</v>
      </c>
      <c r="N31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1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13" s="5">
        <v>199724600</v>
      </c>
      <c r="Q313" t="str">
        <f>IF(OR(digital_banking_transactions3[[#This Row],[Nominal_Bersih]]&lt;0,digital_banking_transactions3[[#This Row],[Nominal_Bersih]]=0),"Invalid","Valid")</f>
        <v>Valid</v>
      </c>
      <c r="R31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45296</v>
      </c>
      <c r="S313" s="1" t="str">
        <f>TEXT(digital_banking_transactions3[[#This Row],[Tanggal_Bersih]],"MMMM YYYY")</f>
        <v>January 2024</v>
      </c>
      <c r="T31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1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14" spans="1:21" x14ac:dyDescent="0.35">
      <c r="A314" s="1" t="s">
        <v>1328</v>
      </c>
      <c r="B314" s="1" t="s">
        <v>1329</v>
      </c>
      <c r="C314" s="1" t="s">
        <v>1330</v>
      </c>
      <c r="D314" s="1" t="s">
        <v>25</v>
      </c>
      <c r="E314" s="1" t="s">
        <v>17</v>
      </c>
      <c r="F314" s="1" t="s">
        <v>1331</v>
      </c>
      <c r="G314" s="1" t="s">
        <v>41</v>
      </c>
      <c r="H314" s="1" t="s">
        <v>60</v>
      </c>
      <c r="I314" s="1" t="s">
        <v>21</v>
      </c>
      <c r="J314" s="1" t="s">
        <v>121</v>
      </c>
      <c r="L314">
        <v>4471</v>
      </c>
      <c r="M314">
        <v>0</v>
      </c>
      <c r="N31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1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14" s="5" t="s">
        <v>1331</v>
      </c>
      <c r="Q314" t="str">
        <f>IF(OR(digital_banking_transactions3[[#This Row],[Nominal_Bersih]]&lt;0,digital_banking_transactions3[[#This Row],[Nominal_Bersih]]=0),"Invalid","Valid")</f>
        <v>Valid</v>
      </c>
      <c r="R31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45299</v>
      </c>
      <c r="S314" s="1" t="str">
        <f>TEXT(digital_banking_transactions3[[#This Row],[Tanggal_Bersih]],"MMMM YYYY")</f>
        <v>January 2024</v>
      </c>
      <c r="T31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1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15" spans="1:21" x14ac:dyDescent="0.35">
      <c r="A315" s="1" t="s">
        <v>1332</v>
      </c>
      <c r="B315" s="1" t="s">
        <v>1333</v>
      </c>
      <c r="C315" s="1" t="s">
        <v>1334</v>
      </c>
      <c r="D315" s="1" t="s">
        <v>31</v>
      </c>
      <c r="E315" s="1" t="s">
        <v>17</v>
      </c>
      <c r="F315" s="1">
        <v>29993780</v>
      </c>
      <c r="G315" s="1" t="s">
        <v>41</v>
      </c>
      <c r="H315" s="1" t="s">
        <v>54</v>
      </c>
      <c r="I315" s="1" t="s">
        <v>21</v>
      </c>
      <c r="J315" s="1" t="s">
        <v>21</v>
      </c>
      <c r="K315">
        <v>2500</v>
      </c>
      <c r="L315">
        <v>3958</v>
      </c>
      <c r="M315">
        <v>0</v>
      </c>
      <c r="N31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1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15" s="5">
        <v>29993780</v>
      </c>
      <c r="Q315" t="str">
        <f>IF(OR(digital_banking_transactions3[[#This Row],[Nominal_Bersih]]&lt;0,digital_banking_transactions3[[#This Row],[Nominal_Bersih]]=0),"Invalid","Valid")</f>
        <v>Valid</v>
      </c>
      <c r="R31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45295</v>
      </c>
      <c r="S315" s="1" t="str">
        <f>TEXT(digital_banking_transactions3[[#This Row],[Tanggal_Bersih]],"MMMM YYYY")</f>
        <v>January 2024</v>
      </c>
      <c r="T31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1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16" spans="1:21" x14ac:dyDescent="0.35">
      <c r="A316" s="1" t="s">
        <v>1336</v>
      </c>
      <c r="B316" s="1" t="s">
        <v>1337</v>
      </c>
      <c r="C316" s="1" t="s">
        <v>1338</v>
      </c>
      <c r="D316" s="1" t="s">
        <v>110</v>
      </c>
      <c r="E316" s="1" t="s">
        <v>52</v>
      </c>
      <c r="F316" s="1" t="s">
        <v>1339</v>
      </c>
      <c r="G316" s="1" t="s">
        <v>27</v>
      </c>
      <c r="H316" s="1" t="s">
        <v>54</v>
      </c>
      <c r="I316" s="1" t="s">
        <v>804</v>
      </c>
      <c r="J316" s="1" t="s">
        <v>21</v>
      </c>
      <c r="K316">
        <v>6500</v>
      </c>
      <c r="L316">
        <v>276</v>
      </c>
      <c r="M316">
        <v>0</v>
      </c>
      <c r="N31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1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16" s="5" t="s">
        <v>1339</v>
      </c>
      <c r="Q316" t="str">
        <f>IF(OR(digital_banking_transactions3[[#This Row],[Nominal_Bersih]]&lt;0,digital_banking_transactions3[[#This Row],[Nominal_Bersih]]=0),"Invalid","Valid")</f>
        <v>Valid</v>
      </c>
      <c r="R31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45303</v>
      </c>
      <c r="S316" s="1" t="str">
        <f>TEXT(digital_banking_transactions3[[#This Row],[Tanggal_Bersih]],"MMMM YYYY")</f>
        <v>January 2024</v>
      </c>
      <c r="T31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1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17" spans="1:21" x14ac:dyDescent="0.35">
      <c r="A317" s="1" t="s">
        <v>1340</v>
      </c>
      <c r="B317" s="1" t="s">
        <v>1341</v>
      </c>
      <c r="C317" s="1" t="s">
        <v>1342</v>
      </c>
      <c r="D317" s="1" t="s">
        <v>93</v>
      </c>
      <c r="E317" s="1" t="s">
        <v>32</v>
      </c>
      <c r="F317" s="1" t="s">
        <v>1343</v>
      </c>
      <c r="G317" s="1" t="s">
        <v>41</v>
      </c>
      <c r="H317" s="1" t="s">
        <v>106</v>
      </c>
      <c r="I317" s="1" t="s">
        <v>21</v>
      </c>
      <c r="J317" s="1" t="s">
        <v>71</v>
      </c>
      <c r="K317">
        <v>0</v>
      </c>
      <c r="L317">
        <v>2622</v>
      </c>
      <c r="M317">
        <v>0</v>
      </c>
      <c r="N31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1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17" s="5" t="s">
        <v>1343</v>
      </c>
      <c r="Q317" t="str">
        <f>IF(OR(digital_banking_transactions3[[#This Row],[Nominal_Bersih]]&lt;0,digital_banking_transactions3[[#This Row],[Nominal_Bersih]]=0),"Invalid","Valid")</f>
        <v>Valid</v>
      </c>
      <c r="R31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45556</v>
      </c>
      <c r="S317" s="1" t="str">
        <f>TEXT(digital_banking_transactions3[[#This Row],[Tanggal_Bersih]],"MMMM YYYY")</f>
        <v>September 2024</v>
      </c>
      <c r="T31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1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18" spans="1:21" x14ac:dyDescent="0.35">
      <c r="A318" s="1" t="s">
        <v>1344</v>
      </c>
      <c r="B318" s="1" t="s">
        <v>1345</v>
      </c>
      <c r="C318" s="1" t="s">
        <v>1346</v>
      </c>
      <c r="D318" s="1" t="s">
        <v>546</v>
      </c>
      <c r="E318" s="1" t="s">
        <v>39</v>
      </c>
      <c r="F318" s="1">
        <v>29778500</v>
      </c>
      <c r="G318" s="1" t="s">
        <v>126</v>
      </c>
      <c r="H318" s="1" t="s">
        <v>106</v>
      </c>
      <c r="I318" s="1" t="s">
        <v>21</v>
      </c>
      <c r="J318" s="1" t="s">
        <v>21</v>
      </c>
      <c r="K318">
        <v>7500</v>
      </c>
      <c r="L318">
        <v>2836</v>
      </c>
      <c r="M318">
        <v>1</v>
      </c>
      <c r="N31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1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18" s="5">
        <v>29778500</v>
      </c>
      <c r="Q318" t="str">
        <f>IF(OR(digital_banking_transactions3[[#This Row],[Nominal_Bersih]]&lt;0,digital_banking_transactions3[[#This Row],[Nominal_Bersih]]=0),"Invalid","Valid")</f>
        <v>Valid</v>
      </c>
      <c r="R31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45574</v>
      </c>
      <c r="S318" s="1" t="str">
        <f>TEXT(digital_banking_transactions3[[#This Row],[Tanggal_Bersih]],"MMMM YYYY")</f>
        <v>October 2024</v>
      </c>
      <c r="T31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1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19" spans="1:21" x14ac:dyDescent="0.35">
      <c r="A319" s="1" t="s">
        <v>1348</v>
      </c>
      <c r="B319" s="1" t="s">
        <v>1349</v>
      </c>
      <c r="C319" s="1" t="s">
        <v>1350</v>
      </c>
      <c r="D319" s="1" t="s">
        <v>254</v>
      </c>
      <c r="E319" s="1" t="s">
        <v>39</v>
      </c>
      <c r="F319" s="1">
        <v>396300800</v>
      </c>
      <c r="G319" s="1" t="s">
        <v>65</v>
      </c>
      <c r="H319" s="1" t="s">
        <v>35</v>
      </c>
      <c r="I319" s="1" t="s">
        <v>21</v>
      </c>
      <c r="J319" s="1" t="s">
        <v>21</v>
      </c>
      <c r="K319">
        <v>7500</v>
      </c>
      <c r="L319">
        <v>4731</v>
      </c>
      <c r="M319">
        <v>0</v>
      </c>
      <c r="N31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1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19" s="5">
        <v>396300800</v>
      </c>
      <c r="Q319" t="str">
        <f>IF(OR(digital_banking_transactions3[[#This Row],[Nominal_Bersih]]&lt;0,digital_banking_transactions3[[#This Row],[Nominal_Bersih]]=0),"Invalid","Valid")</f>
        <v>Valid</v>
      </c>
      <c r="R31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45458</v>
      </c>
      <c r="S319" s="1" t="str">
        <f>TEXT(digital_banking_transactions3[[#This Row],[Tanggal_Bersih]],"MMMM YYYY")</f>
        <v>June 2024</v>
      </c>
      <c r="T31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1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20" spans="1:21" x14ac:dyDescent="0.35">
      <c r="A320" s="1" t="s">
        <v>1352</v>
      </c>
      <c r="B320" s="1" t="s">
        <v>1353</v>
      </c>
      <c r="C320" s="1" t="s">
        <v>1354</v>
      </c>
      <c r="D320" s="1" t="s">
        <v>254</v>
      </c>
      <c r="E320" s="1" t="s">
        <v>94</v>
      </c>
      <c r="F320" s="1">
        <v>218491</v>
      </c>
      <c r="G320" s="1" t="s">
        <v>41</v>
      </c>
      <c r="H320" s="1" t="s">
        <v>54</v>
      </c>
      <c r="I320" s="1" t="s">
        <v>21</v>
      </c>
      <c r="J320" s="1" t="s">
        <v>79</v>
      </c>
      <c r="K320">
        <v>1500</v>
      </c>
      <c r="L320">
        <v>1095</v>
      </c>
      <c r="M320">
        <v>0</v>
      </c>
      <c r="N32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2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20" s="5">
        <v>218491</v>
      </c>
      <c r="Q320" t="str">
        <f>IF(OR(digital_banking_transactions3[[#This Row],[Nominal_Bersih]]&lt;0,digital_banking_transactions3[[#This Row],[Nominal_Bersih]]=0),"Invalid","Valid")</f>
        <v>Valid</v>
      </c>
      <c r="R32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45588</v>
      </c>
      <c r="S320" s="1" t="str">
        <f>TEXT(digital_banking_transactions3[[#This Row],[Tanggal_Bersih]],"MMMM YYYY")</f>
        <v>October 2024</v>
      </c>
      <c r="T32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2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21" spans="1:21" x14ac:dyDescent="0.35">
      <c r="A321" s="1" t="s">
        <v>1356</v>
      </c>
      <c r="B321" s="1" t="s">
        <v>1357</v>
      </c>
      <c r="C321" s="1" t="s">
        <v>1358</v>
      </c>
      <c r="D321" s="1" t="s">
        <v>25</v>
      </c>
      <c r="E321" s="1" t="s">
        <v>94</v>
      </c>
      <c r="F321" s="1">
        <v>13575824</v>
      </c>
      <c r="G321" s="1" t="s">
        <v>41</v>
      </c>
      <c r="H321" s="1" t="s">
        <v>60</v>
      </c>
      <c r="I321" s="1" t="s">
        <v>21</v>
      </c>
      <c r="J321" s="1" t="s">
        <v>71</v>
      </c>
      <c r="K321">
        <v>1500</v>
      </c>
      <c r="L321">
        <v>2275</v>
      </c>
      <c r="M321">
        <v>0</v>
      </c>
      <c r="N32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2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21" s="5">
        <v>13575824</v>
      </c>
      <c r="Q321" t="str">
        <f>IF(OR(digital_banking_transactions3[[#This Row],[Nominal_Bersih]]&lt;0,digital_banking_transactions3[[#This Row],[Nominal_Bersih]]=0),"Invalid","Valid")</f>
        <v>Valid</v>
      </c>
      <c r="R32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45614</v>
      </c>
      <c r="S321" s="1" t="str">
        <f>TEXT(digital_banking_transactions3[[#This Row],[Tanggal_Bersih]],"MMMM YYYY")</f>
        <v>November 2024</v>
      </c>
      <c r="T32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2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22" spans="1:21" x14ac:dyDescent="0.35">
      <c r="A322" s="1" t="s">
        <v>1360</v>
      </c>
      <c r="B322" s="1" t="s">
        <v>1361</v>
      </c>
      <c r="C322" s="1" t="s">
        <v>1362</v>
      </c>
      <c r="D322" s="1" t="s">
        <v>16</v>
      </c>
      <c r="E322" s="1" t="s">
        <v>39</v>
      </c>
      <c r="F322" s="1">
        <v>428410</v>
      </c>
      <c r="G322" s="1" t="s">
        <v>65</v>
      </c>
      <c r="H322" s="1" t="s">
        <v>42</v>
      </c>
      <c r="I322" s="1" t="s">
        <v>21</v>
      </c>
      <c r="J322" s="1" t="s">
        <v>21</v>
      </c>
      <c r="K322">
        <v>7500</v>
      </c>
      <c r="L322">
        <v>2409</v>
      </c>
      <c r="M322">
        <v>0</v>
      </c>
      <c r="N32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2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22" s="5">
        <v>428410</v>
      </c>
      <c r="Q322" t="str">
        <f>IF(OR(digital_banking_transactions3[[#This Row],[Nominal_Bersih]]&lt;0,digital_banking_transactions3[[#This Row],[Nominal_Bersih]]=0),"Invalid","Valid")</f>
        <v>Valid</v>
      </c>
      <c r="R32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45387</v>
      </c>
      <c r="S322" s="1" t="str">
        <f>TEXT(digital_banking_transactions3[[#This Row],[Tanggal_Bersih]],"MMMM YYYY")</f>
        <v>April 2024</v>
      </c>
      <c r="T32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2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23" spans="1:21" x14ac:dyDescent="0.35">
      <c r="A323" s="1" t="s">
        <v>1364</v>
      </c>
      <c r="B323" s="1" t="s">
        <v>1365</v>
      </c>
      <c r="C323" s="1" t="s">
        <v>1366</v>
      </c>
      <c r="D323" s="1" t="s">
        <v>46</v>
      </c>
      <c r="E323" s="1" t="s">
        <v>17</v>
      </c>
      <c r="F323" s="1">
        <v>29773100</v>
      </c>
      <c r="G323" s="1" t="s">
        <v>48</v>
      </c>
      <c r="H323" s="1" t="s">
        <v>77</v>
      </c>
      <c r="I323" s="1" t="s">
        <v>21</v>
      </c>
      <c r="J323" s="1" t="s">
        <v>21</v>
      </c>
      <c r="K323">
        <v>2500</v>
      </c>
      <c r="L323">
        <v>334</v>
      </c>
      <c r="M323">
        <v>0</v>
      </c>
      <c r="N32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2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23" s="5">
        <v>29773100</v>
      </c>
      <c r="Q323" t="str">
        <f>IF(OR(digital_banking_transactions3[[#This Row],[Nominal_Bersih]]&lt;0,digital_banking_transactions3[[#This Row],[Nominal_Bersih]]=0),"Invalid","Valid")</f>
        <v>Valid</v>
      </c>
      <c r="R32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45607</v>
      </c>
      <c r="S323" s="1" t="str">
        <f>TEXT(digital_banking_transactions3[[#This Row],[Tanggal_Bersih]],"MMMM YYYY")</f>
        <v>November 2024</v>
      </c>
      <c r="T32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2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24" spans="1:21" x14ac:dyDescent="0.35">
      <c r="A324" s="1" t="s">
        <v>1368</v>
      </c>
      <c r="B324" s="1" t="s">
        <v>1369</v>
      </c>
      <c r="C324" s="1" t="s">
        <v>1370</v>
      </c>
      <c r="D324" s="1" t="s">
        <v>16</v>
      </c>
      <c r="E324" s="1" t="s">
        <v>32</v>
      </c>
      <c r="F324" s="1">
        <v>293105</v>
      </c>
      <c r="G324" s="1" t="s">
        <v>19</v>
      </c>
      <c r="H324" s="1" t="s">
        <v>20</v>
      </c>
      <c r="I324" s="1" t="s">
        <v>21</v>
      </c>
      <c r="J324" s="1" t="s">
        <v>21</v>
      </c>
      <c r="K324">
        <v>0</v>
      </c>
      <c r="L324">
        <v>1635</v>
      </c>
      <c r="M324">
        <v>1</v>
      </c>
      <c r="N32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2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24" s="5">
        <v>293105</v>
      </c>
      <c r="Q324" t="str">
        <f>IF(OR(digital_banking_transactions3[[#This Row],[Nominal_Bersih]]&lt;0,digital_banking_transactions3[[#This Row],[Nominal_Bersih]]=0),"Invalid","Valid")</f>
        <v>Valid</v>
      </c>
      <c r="R32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45516</v>
      </c>
      <c r="S324" s="1" t="str">
        <f>TEXT(digital_banking_transactions3[[#This Row],[Tanggal_Bersih]],"MMMM YYYY")</f>
        <v>August 2024</v>
      </c>
      <c r="T32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2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25" spans="1:21" x14ac:dyDescent="0.35">
      <c r="A325" s="1" t="s">
        <v>1372</v>
      </c>
      <c r="B325" s="1" t="s">
        <v>1373</v>
      </c>
      <c r="C325" s="1" t="s">
        <v>1374</v>
      </c>
      <c r="D325" s="1" t="s">
        <v>25</v>
      </c>
      <c r="E325" s="1" t="s">
        <v>32</v>
      </c>
      <c r="F325" s="1">
        <v>2773300</v>
      </c>
      <c r="G325" s="1" t="s">
        <v>34</v>
      </c>
      <c r="H325" s="1" t="s">
        <v>20</v>
      </c>
      <c r="I325" s="1" t="s">
        <v>21</v>
      </c>
      <c r="J325" s="1" t="s">
        <v>21</v>
      </c>
      <c r="K325">
        <v>0</v>
      </c>
      <c r="L325">
        <v>4158</v>
      </c>
      <c r="M325">
        <v>0</v>
      </c>
      <c r="N32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2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25" s="5">
        <v>2773300</v>
      </c>
      <c r="Q325" t="str">
        <f>IF(OR(digital_banking_transactions3[[#This Row],[Nominal_Bersih]]&lt;0,digital_banking_transactions3[[#This Row],[Nominal_Bersih]]=0),"Invalid","Valid")</f>
        <v>Valid</v>
      </c>
      <c r="R32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45472</v>
      </c>
      <c r="S325" s="1" t="str">
        <f>TEXT(digital_banking_transactions3[[#This Row],[Tanggal_Bersih]],"MMMM YYYY")</f>
        <v>June 2024</v>
      </c>
      <c r="T32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2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26" spans="1:21" x14ac:dyDescent="0.35">
      <c r="A326" s="1" t="s">
        <v>1376</v>
      </c>
      <c r="B326" s="1" t="s">
        <v>1377</v>
      </c>
      <c r="C326" s="1" t="s">
        <v>1378</v>
      </c>
      <c r="D326" s="1" t="s">
        <v>16</v>
      </c>
      <c r="E326" s="1" t="s">
        <v>52</v>
      </c>
      <c r="F326" s="1" t="s">
        <v>1379</v>
      </c>
      <c r="G326" s="1" t="s">
        <v>89</v>
      </c>
      <c r="H326" s="1" t="s">
        <v>96</v>
      </c>
      <c r="I326" s="1" t="s">
        <v>138</v>
      </c>
      <c r="J326" s="1" t="s">
        <v>21</v>
      </c>
      <c r="K326">
        <v>6500</v>
      </c>
      <c r="L326">
        <v>546</v>
      </c>
      <c r="M326">
        <v>0</v>
      </c>
      <c r="N32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2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26" s="5" t="s">
        <v>1379</v>
      </c>
      <c r="Q326" t="str">
        <f>IF(OR(digital_banking_transactions3[[#This Row],[Nominal_Bersih]]&lt;0,digital_banking_transactions3[[#This Row],[Nominal_Bersih]]=0),"Invalid","Valid")</f>
        <v>Valid</v>
      </c>
      <c r="R32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45387</v>
      </c>
      <c r="S326" s="1" t="str">
        <f>TEXT(digital_banking_transactions3[[#This Row],[Tanggal_Bersih]],"MMMM YYYY")</f>
        <v>April 2024</v>
      </c>
      <c r="T32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2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27" spans="1:21" x14ac:dyDescent="0.35">
      <c r="A327" s="1" t="s">
        <v>1380</v>
      </c>
      <c r="B327" s="1" t="s">
        <v>1381</v>
      </c>
      <c r="C327" s="1" t="s">
        <v>1382</v>
      </c>
      <c r="D327" s="1" t="s">
        <v>167</v>
      </c>
      <c r="E327" s="1" t="s">
        <v>52</v>
      </c>
      <c r="F327" s="1" t="s">
        <v>1383</v>
      </c>
      <c r="G327" s="1" t="s">
        <v>264</v>
      </c>
      <c r="H327" s="1" t="s">
        <v>20</v>
      </c>
      <c r="I327" s="1" t="s">
        <v>66</v>
      </c>
      <c r="J327" s="1" t="s">
        <v>21</v>
      </c>
      <c r="K327">
        <v>6500</v>
      </c>
      <c r="L327">
        <v>921</v>
      </c>
      <c r="M327">
        <v>0</v>
      </c>
      <c r="N32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2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27" s="5" t="s">
        <v>1383</v>
      </c>
      <c r="Q327" t="str">
        <f>IF(OR(digital_banking_transactions3[[#This Row],[Nominal_Bersih]]&lt;0,digital_banking_transactions3[[#This Row],[Nominal_Bersih]]=0),"Invalid","Valid")</f>
        <v>Valid</v>
      </c>
      <c r="R32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45578</v>
      </c>
      <c r="S327" s="1" t="str">
        <f>TEXT(digital_banking_transactions3[[#This Row],[Tanggal_Bersih]],"MMMM YYYY")</f>
        <v>October 2024</v>
      </c>
      <c r="T32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2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28" spans="1:21" x14ac:dyDescent="0.35">
      <c r="A328" s="1" t="s">
        <v>1384</v>
      </c>
      <c r="B328" s="1" t="s">
        <v>1385</v>
      </c>
      <c r="C328" s="1" t="s">
        <v>1386</v>
      </c>
      <c r="D328" s="1" t="s">
        <v>58</v>
      </c>
      <c r="E328" s="1" t="s">
        <v>52</v>
      </c>
      <c r="F328" s="1" t="s">
        <v>1387</v>
      </c>
      <c r="G328" s="1" t="s">
        <v>41</v>
      </c>
      <c r="H328" s="1" t="s">
        <v>106</v>
      </c>
      <c r="I328" s="1" t="s">
        <v>505</v>
      </c>
      <c r="J328" s="1" t="s">
        <v>21</v>
      </c>
      <c r="K328">
        <v>6500</v>
      </c>
      <c r="L328">
        <v>2589</v>
      </c>
      <c r="M328">
        <v>0</v>
      </c>
      <c r="N32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2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28" s="5" t="s">
        <v>1387</v>
      </c>
      <c r="Q328" t="str">
        <f>IF(OR(digital_banking_transactions3[[#This Row],[Nominal_Bersih]]&lt;0,digital_banking_transactions3[[#This Row],[Nominal_Bersih]]=0),"Invalid","Valid")</f>
        <v>Valid</v>
      </c>
      <c r="R32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45538</v>
      </c>
      <c r="S328" s="1" t="str">
        <f>TEXT(digital_banking_transactions3[[#This Row],[Tanggal_Bersih]],"MMMM YYYY")</f>
        <v>September 2024</v>
      </c>
      <c r="T32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2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29" spans="1:21" x14ac:dyDescent="0.35">
      <c r="A329" s="1" t="s">
        <v>1388</v>
      </c>
      <c r="B329" s="1" t="s">
        <v>1389</v>
      </c>
      <c r="C329" s="1" t="s">
        <v>1390</v>
      </c>
      <c r="D329" s="1" t="s">
        <v>25</v>
      </c>
      <c r="E329" s="1" t="s">
        <v>39</v>
      </c>
      <c r="F329" s="1" t="s">
        <v>1391</v>
      </c>
      <c r="G329" s="1" t="s">
        <v>126</v>
      </c>
      <c r="H329" s="1" t="s">
        <v>20</v>
      </c>
      <c r="I329" s="1" t="s">
        <v>21</v>
      </c>
      <c r="J329" s="1" t="s">
        <v>21</v>
      </c>
      <c r="K329">
        <v>7500</v>
      </c>
      <c r="L329">
        <v>4706</v>
      </c>
      <c r="M329">
        <v>0</v>
      </c>
      <c r="N32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2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29" s="5" t="s">
        <v>1391</v>
      </c>
      <c r="Q329" t="str">
        <f>IF(OR(digital_banking_transactions3[[#This Row],[Nominal_Bersih]]&lt;0,digital_banking_transactions3[[#This Row],[Nominal_Bersih]]=0),"Invalid","Valid")</f>
        <v>Valid</v>
      </c>
      <c r="R32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45487</v>
      </c>
      <c r="S329" s="1" t="str">
        <f>TEXT(digital_banking_transactions3[[#This Row],[Tanggal_Bersih]],"MMMM YYYY")</f>
        <v>July 2024</v>
      </c>
      <c r="T32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2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30" spans="1:21" x14ac:dyDescent="0.35">
      <c r="A330" s="1" t="s">
        <v>1392</v>
      </c>
      <c r="B330" s="1" t="s">
        <v>1393</v>
      </c>
      <c r="C330" s="1" t="s">
        <v>1394</v>
      </c>
      <c r="D330" s="1" t="s">
        <v>150</v>
      </c>
      <c r="E330" s="1" t="s">
        <v>17</v>
      </c>
      <c r="F330" s="1" t="s">
        <v>1395</v>
      </c>
      <c r="G330" s="1" t="s">
        <v>34</v>
      </c>
      <c r="H330" s="1" t="s">
        <v>96</v>
      </c>
      <c r="I330" s="1" t="s">
        <v>21</v>
      </c>
      <c r="J330" s="1" t="s">
        <v>71</v>
      </c>
      <c r="K330">
        <v>2500</v>
      </c>
      <c r="L330">
        <v>1170</v>
      </c>
      <c r="M330">
        <v>1</v>
      </c>
      <c r="N33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3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30" s="5" t="s">
        <v>1395</v>
      </c>
      <c r="Q330" t="str">
        <f>IF(OR(digital_banking_transactions3[[#This Row],[Nominal_Bersih]]&lt;0,digital_banking_transactions3[[#This Row],[Nominal_Bersih]]=0),"Invalid","Valid")</f>
        <v>Valid</v>
      </c>
      <c r="R33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45461</v>
      </c>
      <c r="S330" s="1" t="str">
        <f>TEXT(digital_banking_transactions3[[#This Row],[Tanggal_Bersih]],"MMMM YYYY")</f>
        <v>June 2024</v>
      </c>
      <c r="T33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3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31" spans="1:21" x14ac:dyDescent="0.35">
      <c r="A331" s="1" t="s">
        <v>1396</v>
      </c>
      <c r="B331" s="1" t="s">
        <v>1397</v>
      </c>
      <c r="C331" s="1" t="s">
        <v>1398</v>
      </c>
      <c r="D331" s="1" t="s">
        <v>75</v>
      </c>
      <c r="E331" s="1" t="s">
        <v>52</v>
      </c>
      <c r="F331" s="1">
        <v>27588900</v>
      </c>
      <c r="G331" s="1" t="s">
        <v>485</v>
      </c>
      <c r="H331" s="1" t="s">
        <v>42</v>
      </c>
      <c r="I331" s="1" t="s">
        <v>291</v>
      </c>
      <c r="J331" s="1" t="s">
        <v>79</v>
      </c>
      <c r="K331">
        <v>6500</v>
      </c>
      <c r="L331">
        <v>1422</v>
      </c>
      <c r="M331">
        <v>0</v>
      </c>
      <c r="N33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3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31" s="5">
        <v>27588900</v>
      </c>
      <c r="Q331" t="str">
        <f>IF(OR(digital_banking_transactions3[[#This Row],[Nominal_Bersih]]&lt;0,digital_banking_transactions3[[#This Row],[Nominal_Bersih]]=0),"Invalid","Valid")</f>
        <v>Valid</v>
      </c>
      <c r="R33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45439</v>
      </c>
      <c r="S331" s="1" t="str">
        <f>TEXT(digital_banking_transactions3[[#This Row],[Tanggal_Bersih]],"MMMM YYYY")</f>
        <v>May 2024</v>
      </c>
      <c r="T33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3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32" spans="1:21" x14ac:dyDescent="0.35">
      <c r="A332" s="1" t="s">
        <v>1400</v>
      </c>
      <c r="B332" s="1" t="s">
        <v>609</v>
      </c>
      <c r="C332" s="1" t="s">
        <v>1401</v>
      </c>
      <c r="D332" s="1" t="s">
        <v>254</v>
      </c>
      <c r="E332" s="1" t="s">
        <v>94</v>
      </c>
      <c r="F332" s="1" t="s">
        <v>1402</v>
      </c>
      <c r="G332" s="1" t="s">
        <v>41</v>
      </c>
      <c r="H332" s="1" t="s">
        <v>96</v>
      </c>
      <c r="I332" s="1" t="s">
        <v>21</v>
      </c>
      <c r="J332" s="1" t="s">
        <v>21</v>
      </c>
      <c r="K332">
        <v>1500</v>
      </c>
      <c r="L332">
        <v>4210</v>
      </c>
      <c r="M332">
        <v>0</v>
      </c>
      <c r="N33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3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32" s="5" t="s">
        <v>1402</v>
      </c>
      <c r="Q332" t="str">
        <f>IF(OR(digital_banking_transactions3[[#This Row],[Nominal_Bersih]]&lt;0,digital_banking_transactions3[[#This Row],[Nominal_Bersih]]=0),"Invalid","Valid")</f>
        <v>Valid</v>
      </c>
      <c r="R33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45567</v>
      </c>
      <c r="S332" s="1" t="str">
        <f>TEXT(digital_banking_transactions3[[#This Row],[Tanggal_Bersih]],"MMMM YYYY")</f>
        <v>October 2024</v>
      </c>
      <c r="T33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3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33" spans="1:21" x14ac:dyDescent="0.35">
      <c r="A333" s="1" t="s">
        <v>1403</v>
      </c>
      <c r="B333" s="1" t="s">
        <v>1404</v>
      </c>
      <c r="C333" s="1" t="s">
        <v>1405</v>
      </c>
      <c r="D333" s="1" t="s">
        <v>25</v>
      </c>
      <c r="E333" s="1" t="s">
        <v>52</v>
      </c>
      <c r="F333" s="1" t="s">
        <v>1406</v>
      </c>
      <c r="G333" s="1" t="s">
        <v>65</v>
      </c>
      <c r="H333" s="1" t="s">
        <v>54</v>
      </c>
      <c r="I333" s="1" t="s">
        <v>772</v>
      </c>
      <c r="J333" s="1" t="s">
        <v>121</v>
      </c>
      <c r="K333">
        <v>6500</v>
      </c>
      <c r="L333">
        <v>4299</v>
      </c>
      <c r="M333">
        <v>0</v>
      </c>
      <c r="N33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3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33" s="5" t="s">
        <v>1406</v>
      </c>
      <c r="Q333" t="str">
        <f>IF(OR(digital_banking_transactions3[[#This Row],[Nominal_Bersih]]&lt;0,digital_banking_transactions3[[#This Row],[Nominal_Bersih]]=0),"Invalid","Valid")</f>
        <v>Valid</v>
      </c>
      <c r="R33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45310</v>
      </c>
      <c r="S333" s="1" t="str">
        <f>TEXT(digital_banking_transactions3[[#This Row],[Tanggal_Bersih]],"MMMM YYYY")</f>
        <v>January 2024</v>
      </c>
      <c r="T33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3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34" spans="1:21" x14ac:dyDescent="0.35">
      <c r="A334" s="1" t="s">
        <v>1407</v>
      </c>
      <c r="B334" s="1" t="s">
        <v>1408</v>
      </c>
      <c r="C334" s="1" t="s">
        <v>1409</v>
      </c>
      <c r="D334" s="1" t="s">
        <v>58</v>
      </c>
      <c r="E334" s="1" t="s">
        <v>52</v>
      </c>
      <c r="F334" s="4">
        <v>4756518</v>
      </c>
      <c r="G334" s="1" t="s">
        <v>126</v>
      </c>
      <c r="H334" s="1" t="s">
        <v>77</v>
      </c>
      <c r="I334" s="1" t="s">
        <v>131</v>
      </c>
      <c r="J334" s="1" t="s">
        <v>21</v>
      </c>
      <c r="K334">
        <v>6500</v>
      </c>
      <c r="L334">
        <v>2207</v>
      </c>
      <c r="M334">
        <v>0</v>
      </c>
      <c r="N33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3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34" s="5">
        <v>4756518</v>
      </c>
      <c r="Q334" t="str">
        <f>IF(OR(digital_banking_transactions3[[#This Row],[Nominal_Bersih]]&lt;0,digital_banking_transactions3[[#This Row],[Nominal_Bersih]]=0),"Invalid","Valid")</f>
        <v>Valid</v>
      </c>
      <c r="R33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45560</v>
      </c>
      <c r="S334" s="1" t="str">
        <f>TEXT(digital_banking_transactions3[[#This Row],[Tanggal_Bersih]],"MMMM YYYY")</f>
        <v>September 2024</v>
      </c>
      <c r="T33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3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35" spans="1:21" x14ac:dyDescent="0.35">
      <c r="A335" s="1" t="s">
        <v>1411</v>
      </c>
      <c r="B335" s="1" t="s">
        <v>1412</v>
      </c>
      <c r="C335" s="1" t="s">
        <v>1413</v>
      </c>
      <c r="D335" s="1" t="s">
        <v>16</v>
      </c>
      <c r="E335" s="1" t="s">
        <v>32</v>
      </c>
      <c r="F335" s="1">
        <v>4558074</v>
      </c>
      <c r="G335" s="1" t="s">
        <v>41</v>
      </c>
      <c r="H335" s="1" t="s">
        <v>60</v>
      </c>
      <c r="I335" s="1" t="s">
        <v>21</v>
      </c>
      <c r="J335" s="1" t="s">
        <v>21</v>
      </c>
      <c r="K335">
        <v>0</v>
      </c>
      <c r="L335">
        <v>1956</v>
      </c>
      <c r="M335">
        <v>0</v>
      </c>
      <c r="N33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3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35" s="5">
        <v>4558074</v>
      </c>
      <c r="Q335" t="str">
        <f>IF(OR(digital_banking_transactions3[[#This Row],[Nominal_Bersih]]&lt;0,digital_banking_transactions3[[#This Row],[Nominal_Bersih]]=0),"Invalid","Valid")</f>
        <v>Valid</v>
      </c>
      <c r="R33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45396</v>
      </c>
      <c r="S335" s="1" t="str">
        <f>TEXT(digital_banking_transactions3[[#This Row],[Tanggal_Bersih]],"MMMM YYYY")</f>
        <v>April 2024</v>
      </c>
      <c r="T33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3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36" spans="1:21" x14ac:dyDescent="0.35">
      <c r="A336" s="1" t="s">
        <v>1415</v>
      </c>
      <c r="B336" s="1" t="s">
        <v>1416</v>
      </c>
      <c r="C336" s="1" t="s">
        <v>1417</v>
      </c>
      <c r="D336" s="1" t="s">
        <v>150</v>
      </c>
      <c r="E336" s="1" t="s">
        <v>52</v>
      </c>
      <c r="F336" s="1" t="s">
        <v>1418</v>
      </c>
      <c r="G336" s="1" t="s">
        <v>65</v>
      </c>
      <c r="H336" s="1" t="s">
        <v>60</v>
      </c>
      <c r="I336" s="1" t="s">
        <v>138</v>
      </c>
      <c r="J336" s="1" t="s">
        <v>79</v>
      </c>
      <c r="K336">
        <v>6500</v>
      </c>
      <c r="L336">
        <v>3680</v>
      </c>
      <c r="M336">
        <v>0</v>
      </c>
      <c r="N33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3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36" s="5" t="s">
        <v>1418</v>
      </c>
      <c r="Q336" t="str">
        <f>IF(OR(digital_banking_transactions3[[#This Row],[Nominal_Bersih]]&lt;0,digital_banking_transactions3[[#This Row],[Nominal_Bersih]]=0),"Invalid","Valid")</f>
        <v>Valid</v>
      </c>
      <c r="R33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45605</v>
      </c>
      <c r="S336" s="1" t="str">
        <f>TEXT(digital_banking_transactions3[[#This Row],[Tanggal_Bersih]],"MMMM YYYY")</f>
        <v>November 2024</v>
      </c>
      <c r="T33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3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37" spans="1:21" x14ac:dyDescent="0.35">
      <c r="A337" s="1" t="s">
        <v>1419</v>
      </c>
      <c r="B337" s="1" t="s">
        <v>1420</v>
      </c>
      <c r="C337" s="1" t="s">
        <v>1421</v>
      </c>
      <c r="D337" s="1" t="s">
        <v>58</v>
      </c>
      <c r="E337" s="1" t="s">
        <v>52</v>
      </c>
      <c r="F337" s="1">
        <v>92284</v>
      </c>
      <c r="G337" s="1" t="s">
        <v>65</v>
      </c>
      <c r="H337" s="1" t="s">
        <v>54</v>
      </c>
      <c r="I337" s="1" t="s">
        <v>21</v>
      </c>
      <c r="J337" s="1" t="s">
        <v>21</v>
      </c>
      <c r="K337">
        <v>6500</v>
      </c>
      <c r="L337">
        <v>805</v>
      </c>
      <c r="M337">
        <v>0</v>
      </c>
      <c r="N33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3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37" s="5">
        <v>92284</v>
      </c>
      <c r="Q337" t="str">
        <f>IF(OR(digital_banking_transactions3[[#This Row],[Nominal_Bersih]]&lt;0,digital_banking_transactions3[[#This Row],[Nominal_Bersih]]=0),"Invalid","Valid")</f>
        <v>Valid</v>
      </c>
      <c r="R33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45310</v>
      </c>
      <c r="S337" s="1" t="str">
        <f>TEXT(digital_banking_transactions3[[#This Row],[Tanggal_Bersih]],"MMMM YYYY")</f>
        <v>January 2024</v>
      </c>
      <c r="T33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3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38" spans="1:21" x14ac:dyDescent="0.35">
      <c r="A338" s="1" t="s">
        <v>1423</v>
      </c>
      <c r="B338" s="1" t="s">
        <v>1424</v>
      </c>
      <c r="C338" s="1" t="s">
        <v>1425</v>
      </c>
      <c r="D338" s="1" t="s">
        <v>25</v>
      </c>
      <c r="E338" s="1" t="s">
        <v>32</v>
      </c>
      <c r="F338" s="1">
        <v>13771</v>
      </c>
      <c r="G338" s="1" t="s">
        <v>65</v>
      </c>
      <c r="H338" s="1" t="s">
        <v>96</v>
      </c>
      <c r="I338" s="1" t="s">
        <v>21</v>
      </c>
      <c r="J338" s="1" t="s">
        <v>21</v>
      </c>
      <c r="K338">
        <v>0</v>
      </c>
      <c r="L338">
        <v>3455</v>
      </c>
      <c r="M338">
        <v>0</v>
      </c>
      <c r="N33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3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38" s="5">
        <v>13771</v>
      </c>
      <c r="Q338" t="str">
        <f>IF(OR(digital_banking_transactions3[[#This Row],[Nominal_Bersih]]&lt;0,digital_banking_transactions3[[#This Row],[Nominal_Bersih]]=0),"Invalid","Valid")</f>
        <v>Valid</v>
      </c>
      <c r="R33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45423</v>
      </c>
      <c r="S338" s="1" t="str">
        <f>TEXT(digital_banking_transactions3[[#This Row],[Tanggal_Bersih]],"MMMM YYYY")</f>
        <v>May 2024</v>
      </c>
      <c r="T33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3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39" spans="1:21" x14ac:dyDescent="0.35">
      <c r="A339" s="1" t="s">
        <v>1427</v>
      </c>
      <c r="B339" s="1" t="s">
        <v>1428</v>
      </c>
      <c r="C339" s="1" t="s">
        <v>1429</v>
      </c>
      <c r="D339" s="1" t="s">
        <v>75</v>
      </c>
      <c r="E339" s="1" t="s">
        <v>17</v>
      </c>
      <c r="F339" s="1">
        <v>18320000</v>
      </c>
      <c r="G339" s="1" t="s">
        <v>126</v>
      </c>
      <c r="H339" s="1" t="s">
        <v>60</v>
      </c>
      <c r="I339" s="1" t="s">
        <v>21</v>
      </c>
      <c r="J339" s="1" t="s">
        <v>121</v>
      </c>
      <c r="K339">
        <v>2500</v>
      </c>
      <c r="L339">
        <v>4786</v>
      </c>
      <c r="M339">
        <v>0</v>
      </c>
      <c r="N33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3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39" s="5">
        <v>18320000</v>
      </c>
      <c r="Q339" t="str">
        <f>IF(OR(digital_banking_transactions3[[#This Row],[Nominal_Bersih]]&lt;0,digital_banking_transactions3[[#This Row],[Nominal_Bersih]]=0),"Invalid","Valid")</f>
        <v>Valid</v>
      </c>
      <c r="R33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45559</v>
      </c>
      <c r="S339" s="1" t="str">
        <f>TEXT(digital_banking_transactions3[[#This Row],[Tanggal_Bersih]],"MMMM YYYY")</f>
        <v>September 2024</v>
      </c>
      <c r="T33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3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40" spans="1:21" x14ac:dyDescent="0.35">
      <c r="A340" s="1" t="s">
        <v>1431</v>
      </c>
      <c r="B340" s="1" t="s">
        <v>1432</v>
      </c>
      <c r="C340" s="1" t="s">
        <v>1433</v>
      </c>
      <c r="D340" s="1" t="s">
        <v>16</v>
      </c>
      <c r="E340" s="1" t="s">
        <v>94</v>
      </c>
      <c r="F340" s="1" t="s">
        <v>1434</v>
      </c>
      <c r="G340" s="1" t="s">
        <v>137</v>
      </c>
      <c r="H340" s="1" t="s">
        <v>106</v>
      </c>
      <c r="I340" s="1" t="s">
        <v>21</v>
      </c>
      <c r="J340" s="1" t="s">
        <v>21</v>
      </c>
      <c r="K340">
        <v>1500</v>
      </c>
      <c r="L340">
        <v>914</v>
      </c>
      <c r="M340">
        <v>0</v>
      </c>
      <c r="N34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4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40" s="5" t="s">
        <v>1434</v>
      </c>
      <c r="Q340" t="str">
        <f>IF(OR(digital_banking_transactions3[[#This Row],[Nominal_Bersih]]&lt;0,digital_banking_transactions3[[#This Row],[Nominal_Bersih]]=0),"Invalid","Valid")</f>
        <v>Valid</v>
      </c>
      <c r="R34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45466</v>
      </c>
      <c r="S340" s="1" t="str">
        <f>TEXT(digital_banking_transactions3[[#This Row],[Tanggal_Bersih]],"MMMM YYYY")</f>
        <v>June 2024</v>
      </c>
      <c r="T34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4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41" spans="1:21" x14ac:dyDescent="0.35">
      <c r="A341" s="1" t="s">
        <v>1435</v>
      </c>
      <c r="B341" s="1" t="s">
        <v>1436</v>
      </c>
      <c r="C341" s="1" t="s">
        <v>1437</v>
      </c>
      <c r="D341" s="1" t="s">
        <v>75</v>
      </c>
      <c r="E341" s="1" t="s">
        <v>52</v>
      </c>
      <c r="F341" s="1" t="s">
        <v>1438</v>
      </c>
      <c r="G341" s="1" t="s">
        <v>48</v>
      </c>
      <c r="H341" s="1" t="s">
        <v>54</v>
      </c>
      <c r="I341" s="1" t="s">
        <v>66</v>
      </c>
      <c r="J341" s="1" t="s">
        <v>79</v>
      </c>
      <c r="K341">
        <v>6500</v>
      </c>
      <c r="L341">
        <v>34339</v>
      </c>
      <c r="M341">
        <v>0</v>
      </c>
      <c r="N34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4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41" s="5" t="s">
        <v>1438</v>
      </c>
      <c r="Q341" t="str">
        <f>IF(OR(digital_banking_transactions3[[#This Row],[Nominal_Bersih]]&lt;0,digital_banking_transactions3[[#This Row],[Nominal_Bersih]]=0),"Invalid","Valid")</f>
        <v>Valid</v>
      </c>
      <c r="R34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45612</v>
      </c>
      <c r="S341" s="1" t="str">
        <f>TEXT(digital_banking_transactions3[[#This Row],[Tanggal_Bersih]],"MMMM YYYY")</f>
        <v>November 2024</v>
      </c>
      <c r="T34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4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342" spans="1:21" x14ac:dyDescent="0.35">
      <c r="A342" s="1" t="s">
        <v>1439</v>
      </c>
      <c r="B342" s="1" t="s">
        <v>1440</v>
      </c>
      <c r="C342" s="1" t="s">
        <v>1441</v>
      </c>
      <c r="D342" s="1" t="s">
        <v>25</v>
      </c>
      <c r="E342" s="1" t="s">
        <v>32</v>
      </c>
      <c r="F342" s="4">
        <v>7728186</v>
      </c>
      <c r="G342" s="1" t="s">
        <v>19</v>
      </c>
      <c r="H342" s="1" t="s">
        <v>54</v>
      </c>
      <c r="I342" s="1" t="s">
        <v>21</v>
      </c>
      <c r="J342" s="1" t="s">
        <v>121</v>
      </c>
      <c r="K342">
        <v>0</v>
      </c>
      <c r="L342">
        <v>4772</v>
      </c>
      <c r="M342">
        <v>0</v>
      </c>
      <c r="N34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4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42" s="5">
        <v>7728186</v>
      </c>
      <c r="Q342" t="str">
        <f>IF(OR(digital_banking_transactions3[[#This Row],[Nominal_Bersih]]&lt;0,digital_banking_transactions3[[#This Row],[Nominal_Bersih]]=0),"Invalid","Valid")</f>
        <v>Valid</v>
      </c>
      <c r="R34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45619</v>
      </c>
      <c r="S342" s="1" t="str">
        <f>TEXT(digital_banking_transactions3[[#This Row],[Tanggal_Bersih]],"MMMM YYYY")</f>
        <v>November 2024</v>
      </c>
      <c r="T34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4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43" spans="1:21" x14ac:dyDescent="0.35">
      <c r="A343" s="1" t="s">
        <v>1443</v>
      </c>
      <c r="B343" s="1" t="s">
        <v>1444</v>
      </c>
      <c r="C343" s="1" t="s">
        <v>1445</v>
      </c>
      <c r="D343" s="1" t="s">
        <v>150</v>
      </c>
      <c r="E343" s="1" t="s">
        <v>39</v>
      </c>
      <c r="F343" s="4">
        <v>496144</v>
      </c>
      <c r="G343" s="1" t="s">
        <v>89</v>
      </c>
      <c r="H343" s="1" t="s">
        <v>42</v>
      </c>
      <c r="I343" s="1" t="s">
        <v>21</v>
      </c>
      <c r="J343" s="1" t="s">
        <v>71</v>
      </c>
      <c r="K343">
        <v>7500</v>
      </c>
      <c r="L343">
        <v>2615</v>
      </c>
      <c r="M343">
        <v>0</v>
      </c>
      <c r="N34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4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43" s="5">
        <v>496144</v>
      </c>
      <c r="Q343" t="str">
        <f>IF(OR(digital_banking_transactions3[[#This Row],[Nominal_Bersih]]&lt;0,digital_banking_transactions3[[#This Row],[Nominal_Bersih]]=0),"Invalid","Valid")</f>
        <v>Valid</v>
      </c>
      <c r="R34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45406</v>
      </c>
      <c r="S343" s="1" t="str">
        <f>TEXT(digital_banking_transactions3[[#This Row],[Tanggal_Bersih]],"MMMM YYYY")</f>
        <v>April 2024</v>
      </c>
      <c r="T34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4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44" spans="1:21" x14ac:dyDescent="0.35">
      <c r="A344" s="1" t="s">
        <v>1447</v>
      </c>
      <c r="B344" s="1" t="s">
        <v>1448</v>
      </c>
      <c r="C344" s="1" t="s">
        <v>1449</v>
      </c>
      <c r="D344" s="1" t="s">
        <v>58</v>
      </c>
      <c r="E344" s="1" t="s">
        <v>32</v>
      </c>
      <c r="F344" s="1">
        <v>39327104</v>
      </c>
      <c r="G344" s="1" t="s">
        <v>27</v>
      </c>
      <c r="H344" s="1" t="s">
        <v>77</v>
      </c>
      <c r="I344" s="1" t="s">
        <v>21</v>
      </c>
      <c r="J344" s="1" t="s">
        <v>21</v>
      </c>
      <c r="K344">
        <v>0</v>
      </c>
      <c r="L344">
        <v>2468</v>
      </c>
      <c r="M344">
        <v>0</v>
      </c>
      <c r="N34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4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44" s="5">
        <v>39327104</v>
      </c>
      <c r="Q344" t="str">
        <f>IF(OR(digital_banking_transactions3[[#This Row],[Nominal_Bersih]]&lt;0,digital_banking_transactions3[[#This Row],[Nominal_Bersih]]=0),"Invalid","Valid")</f>
        <v>Valid</v>
      </c>
      <c r="R34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45484</v>
      </c>
      <c r="S344" s="1" t="str">
        <f>TEXT(digital_banking_transactions3[[#This Row],[Tanggal_Bersih]],"MMMM YYYY")</f>
        <v>July 2024</v>
      </c>
      <c r="T34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4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45" spans="1:21" x14ac:dyDescent="0.35">
      <c r="A345" s="1" t="s">
        <v>1451</v>
      </c>
      <c r="B345" s="1" t="s">
        <v>1452</v>
      </c>
      <c r="C345" s="1" t="s">
        <v>1453</v>
      </c>
      <c r="D345" s="1" t="s">
        <v>25</v>
      </c>
      <c r="E345" s="1" t="s">
        <v>17</v>
      </c>
      <c r="F345" s="1" t="s">
        <v>1454</v>
      </c>
      <c r="G345" s="1" t="s">
        <v>137</v>
      </c>
      <c r="H345" s="1" t="s">
        <v>54</v>
      </c>
      <c r="I345" s="1" t="s">
        <v>21</v>
      </c>
      <c r="J345" s="1" t="s">
        <v>21</v>
      </c>
      <c r="K345">
        <v>2500</v>
      </c>
      <c r="L345">
        <v>4502</v>
      </c>
      <c r="M345">
        <v>0</v>
      </c>
      <c r="N34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4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45" s="5" t="s">
        <v>1454</v>
      </c>
      <c r="Q345" t="str">
        <f>IF(OR(digital_banking_transactions3[[#This Row],[Nominal_Bersih]]&lt;0,digital_banking_transactions3[[#This Row],[Nominal_Bersih]]=0),"Invalid","Valid")</f>
        <v>Valid</v>
      </c>
      <c r="R34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45503</v>
      </c>
      <c r="S345" s="1" t="str">
        <f>TEXT(digital_banking_transactions3[[#This Row],[Tanggal_Bersih]],"MMMM YYYY")</f>
        <v>July 2024</v>
      </c>
      <c r="T34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4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46" spans="1:21" x14ac:dyDescent="0.35">
      <c r="A346" s="1" t="s">
        <v>1455</v>
      </c>
      <c r="B346" s="1" t="s">
        <v>1456</v>
      </c>
      <c r="C346" s="1" t="s">
        <v>1457</v>
      </c>
      <c r="D346" s="1" t="s">
        <v>16</v>
      </c>
      <c r="E346" s="1" t="s">
        <v>94</v>
      </c>
      <c r="F346" s="1" t="s">
        <v>1458</v>
      </c>
      <c r="G346" s="1" t="s">
        <v>137</v>
      </c>
      <c r="H346" s="1" t="s">
        <v>54</v>
      </c>
      <c r="I346" s="1" t="s">
        <v>21</v>
      </c>
      <c r="J346" s="1" t="s">
        <v>21</v>
      </c>
      <c r="K346">
        <v>1500</v>
      </c>
      <c r="L346">
        <v>3290</v>
      </c>
      <c r="M346">
        <v>0</v>
      </c>
      <c r="N34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4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46" s="5" t="s">
        <v>1458</v>
      </c>
      <c r="Q346" t="str">
        <f>IF(OR(digital_banking_transactions3[[#This Row],[Nominal_Bersih]]&lt;0,digital_banking_transactions3[[#This Row],[Nominal_Bersih]]=0),"Invalid","Valid")</f>
        <v>Valid</v>
      </c>
      <c r="R34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45447</v>
      </c>
      <c r="S346" s="1" t="str">
        <f>TEXT(digital_banking_transactions3[[#This Row],[Tanggal_Bersih]],"MMMM YYYY")</f>
        <v>June 2024</v>
      </c>
      <c r="T34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4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47" spans="1:21" x14ac:dyDescent="0.35">
      <c r="A347" s="1" t="s">
        <v>1459</v>
      </c>
      <c r="B347" s="1" t="s">
        <v>1460</v>
      </c>
      <c r="C347" s="1" t="s">
        <v>1461</v>
      </c>
      <c r="D347" s="1" t="s">
        <v>58</v>
      </c>
      <c r="E347" s="1" t="s">
        <v>94</v>
      </c>
      <c r="F347" s="1" t="s">
        <v>1462</v>
      </c>
      <c r="G347" s="1" t="s">
        <v>65</v>
      </c>
      <c r="H347" s="1" t="s">
        <v>60</v>
      </c>
      <c r="I347" s="1" t="s">
        <v>21</v>
      </c>
      <c r="J347" s="1" t="s">
        <v>21</v>
      </c>
      <c r="K347">
        <v>1500</v>
      </c>
      <c r="L347">
        <v>868</v>
      </c>
      <c r="M347">
        <v>0</v>
      </c>
      <c r="N34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4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47" s="5" t="s">
        <v>1462</v>
      </c>
      <c r="Q347" t="str">
        <f>IF(OR(digital_banking_transactions3[[#This Row],[Nominal_Bersih]]&lt;0,digital_banking_transactions3[[#This Row],[Nominal_Bersih]]=0),"Invalid","Valid")</f>
        <v>Valid</v>
      </c>
      <c r="R34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45353</v>
      </c>
      <c r="S347" s="1" t="str">
        <f>TEXT(digital_banking_transactions3[[#This Row],[Tanggal_Bersih]],"MMMM YYYY")</f>
        <v>March 2024</v>
      </c>
      <c r="T34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4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48" spans="1:21" x14ac:dyDescent="0.35">
      <c r="A348" s="1" t="s">
        <v>1463</v>
      </c>
      <c r="B348" s="1" t="s">
        <v>1464</v>
      </c>
      <c r="C348" s="1" t="s">
        <v>1465</v>
      </c>
      <c r="D348" s="1" t="s">
        <v>75</v>
      </c>
      <c r="E348" s="1" t="s">
        <v>39</v>
      </c>
      <c r="F348" s="1" t="s">
        <v>1466</v>
      </c>
      <c r="G348" s="1" t="s">
        <v>41</v>
      </c>
      <c r="H348" s="1" t="s">
        <v>35</v>
      </c>
      <c r="I348" s="1" t="s">
        <v>21</v>
      </c>
      <c r="J348" s="1" t="s">
        <v>79</v>
      </c>
      <c r="K348">
        <v>7500</v>
      </c>
      <c r="L348">
        <v>4806</v>
      </c>
      <c r="M348">
        <v>0</v>
      </c>
      <c r="N34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4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48" s="5" t="s">
        <v>1466</v>
      </c>
      <c r="Q348" t="str">
        <f>IF(OR(digital_banking_transactions3[[#This Row],[Nominal_Bersih]]&lt;0,digital_banking_transactions3[[#This Row],[Nominal_Bersih]]=0),"Invalid","Valid")</f>
        <v>Valid</v>
      </c>
      <c r="R34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45520</v>
      </c>
      <c r="S348" s="1" t="str">
        <f>TEXT(digital_banking_transactions3[[#This Row],[Tanggal_Bersih]],"MMMM YYYY")</f>
        <v>August 2024</v>
      </c>
      <c r="T34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4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49" spans="1:21" x14ac:dyDescent="0.35">
      <c r="A349" s="1" t="s">
        <v>1467</v>
      </c>
      <c r="B349" s="1" t="s">
        <v>1468</v>
      </c>
      <c r="C349" s="1" t="s">
        <v>1469</v>
      </c>
      <c r="D349" s="1" t="s">
        <v>58</v>
      </c>
      <c r="E349" s="1" t="s">
        <v>32</v>
      </c>
      <c r="F349" s="1" t="s">
        <v>1470</v>
      </c>
      <c r="G349" s="1" t="s">
        <v>41</v>
      </c>
      <c r="H349" s="1" t="s">
        <v>35</v>
      </c>
      <c r="I349" s="1" t="s">
        <v>21</v>
      </c>
      <c r="J349" s="1" t="s">
        <v>21</v>
      </c>
      <c r="K349">
        <v>0</v>
      </c>
      <c r="L349">
        <v>47223</v>
      </c>
      <c r="M349">
        <v>0</v>
      </c>
      <c r="N34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4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49" s="5" t="s">
        <v>1470</v>
      </c>
      <c r="Q349" t="str">
        <f>IF(OR(digital_banking_transactions3[[#This Row],[Nominal_Bersih]]&lt;0,digital_banking_transactions3[[#This Row],[Nominal_Bersih]]=0),"Invalid","Valid")</f>
        <v>Valid</v>
      </c>
      <c r="R34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45545</v>
      </c>
      <c r="S349" s="1" t="str">
        <f>TEXT(digital_banking_transactions3[[#This Row],[Tanggal_Bersih]],"MMMM YYYY")</f>
        <v>September 2024</v>
      </c>
      <c r="T34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4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350" spans="1:21" x14ac:dyDescent="0.35">
      <c r="A350" s="1" t="s">
        <v>1471</v>
      </c>
      <c r="B350" s="1" t="s">
        <v>1472</v>
      </c>
      <c r="C350" s="1" t="s">
        <v>1473</v>
      </c>
      <c r="D350" s="1" t="s">
        <v>25</v>
      </c>
      <c r="E350" s="1" t="s">
        <v>94</v>
      </c>
      <c r="F350" s="1">
        <v>483740</v>
      </c>
      <c r="G350" s="1" t="s">
        <v>65</v>
      </c>
      <c r="H350" s="1" t="s">
        <v>35</v>
      </c>
      <c r="I350" s="1" t="s">
        <v>21</v>
      </c>
      <c r="J350" s="1" t="s">
        <v>21</v>
      </c>
      <c r="K350">
        <v>1500</v>
      </c>
      <c r="L350">
        <v>39351</v>
      </c>
      <c r="M350">
        <v>1</v>
      </c>
      <c r="N35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5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50" s="5">
        <v>483740</v>
      </c>
      <c r="Q350" t="str">
        <f>IF(OR(digital_banking_transactions3[[#This Row],[Nominal_Bersih]]&lt;0,digital_banking_transactions3[[#This Row],[Nominal_Bersih]]=0),"Invalid","Valid")</f>
        <v>Valid</v>
      </c>
      <c r="R35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45372</v>
      </c>
      <c r="S350" s="1" t="str">
        <f>TEXT(digital_banking_transactions3[[#This Row],[Tanggal_Bersih]],"MMMM YYYY")</f>
        <v>March 2024</v>
      </c>
      <c r="T35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5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351" spans="1:21" x14ac:dyDescent="0.35">
      <c r="A351" s="1" t="s">
        <v>1475</v>
      </c>
      <c r="B351" s="1" t="s">
        <v>849</v>
      </c>
      <c r="C351" s="1" t="s">
        <v>1476</v>
      </c>
      <c r="D351" s="1" t="s">
        <v>25</v>
      </c>
      <c r="E351" s="1" t="s">
        <v>52</v>
      </c>
      <c r="F351" s="1">
        <v>43342284</v>
      </c>
      <c r="G351" s="1" t="s">
        <v>126</v>
      </c>
      <c r="H351" s="1" t="s">
        <v>20</v>
      </c>
      <c r="I351" s="1" t="s">
        <v>138</v>
      </c>
      <c r="J351" s="1" t="s">
        <v>79</v>
      </c>
      <c r="K351">
        <v>6500</v>
      </c>
      <c r="L351">
        <v>4219</v>
      </c>
      <c r="M351">
        <v>0</v>
      </c>
      <c r="N35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5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51" s="5">
        <v>43342284</v>
      </c>
      <c r="Q351" t="str">
        <f>IF(OR(digital_banking_transactions3[[#This Row],[Nominal_Bersih]]&lt;0,digital_banking_transactions3[[#This Row],[Nominal_Bersih]]=0),"Invalid","Valid")</f>
        <v>Valid</v>
      </c>
      <c r="R35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45606</v>
      </c>
      <c r="S351" s="1" t="str">
        <f>TEXT(digital_banking_transactions3[[#This Row],[Tanggal_Bersih]],"MMMM YYYY")</f>
        <v>November 2024</v>
      </c>
      <c r="T35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5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52" spans="1:21" x14ac:dyDescent="0.35">
      <c r="A352" s="1" t="s">
        <v>1478</v>
      </c>
      <c r="B352" s="1" t="s">
        <v>1479</v>
      </c>
      <c r="C352" s="1" t="s">
        <v>1480</v>
      </c>
      <c r="D352" s="1" t="s">
        <v>135</v>
      </c>
      <c r="E352" s="1" t="s">
        <v>17</v>
      </c>
      <c r="F352" s="1">
        <v>191415</v>
      </c>
      <c r="G352" s="1" t="s">
        <v>41</v>
      </c>
      <c r="H352" s="1" t="s">
        <v>60</v>
      </c>
      <c r="I352" s="1" t="s">
        <v>21</v>
      </c>
      <c r="J352" s="1" t="s">
        <v>121</v>
      </c>
      <c r="K352">
        <v>2500</v>
      </c>
      <c r="L352">
        <v>2965</v>
      </c>
      <c r="M352">
        <v>1</v>
      </c>
      <c r="N35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5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52" s="5">
        <v>191415</v>
      </c>
      <c r="Q352" t="str">
        <f>IF(OR(digital_banking_transactions3[[#This Row],[Nominal_Bersih]]&lt;0,digital_banking_transactions3[[#This Row],[Nominal_Bersih]]=0),"Invalid","Valid")</f>
        <v>Valid</v>
      </c>
      <c r="R35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45320</v>
      </c>
      <c r="S352" s="1" t="str">
        <f>TEXT(digital_banking_transactions3[[#This Row],[Tanggal_Bersih]],"MMMM YYYY")</f>
        <v>January 2024</v>
      </c>
      <c r="T35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5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53" spans="1:21" x14ac:dyDescent="0.35">
      <c r="A353" s="1" t="s">
        <v>1482</v>
      </c>
      <c r="B353" s="1" t="s">
        <v>1483</v>
      </c>
      <c r="C353" s="1" t="s">
        <v>1484</v>
      </c>
      <c r="D353" s="1" t="s">
        <v>31</v>
      </c>
      <c r="E353" s="1" t="s">
        <v>94</v>
      </c>
      <c r="F353" s="1" t="s">
        <v>1485</v>
      </c>
      <c r="G353" s="1" t="s">
        <v>195</v>
      </c>
      <c r="H353" s="1" t="s">
        <v>42</v>
      </c>
      <c r="I353" s="1" t="s">
        <v>21</v>
      </c>
      <c r="J353" s="1" t="s">
        <v>21</v>
      </c>
      <c r="K353">
        <v>1500</v>
      </c>
      <c r="L353">
        <v>2414</v>
      </c>
      <c r="M353">
        <v>0</v>
      </c>
      <c r="N35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5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53" s="5" t="s">
        <v>1485</v>
      </c>
      <c r="Q353" t="str">
        <f>IF(OR(digital_banking_transactions3[[#This Row],[Nominal_Bersih]]&lt;0,digital_banking_transactions3[[#This Row],[Nominal_Bersih]]=0),"Invalid","Valid")</f>
        <v>Valid</v>
      </c>
      <c r="R35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45486</v>
      </c>
      <c r="S353" s="1" t="str">
        <f>TEXT(digital_banking_transactions3[[#This Row],[Tanggal_Bersih]],"MMMM YYYY")</f>
        <v>July 2024</v>
      </c>
      <c r="T35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5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54" spans="1:21" x14ac:dyDescent="0.35">
      <c r="A354" s="1" t="s">
        <v>1486</v>
      </c>
      <c r="B354" s="1" t="s">
        <v>1487</v>
      </c>
      <c r="C354" s="1" t="s">
        <v>1488</v>
      </c>
      <c r="D354" s="1" t="s">
        <v>16</v>
      </c>
      <c r="E354" s="1" t="s">
        <v>94</v>
      </c>
      <c r="F354" s="4">
        <v>48020051</v>
      </c>
      <c r="G354" s="1" t="s">
        <v>65</v>
      </c>
      <c r="H354" s="1" t="s">
        <v>106</v>
      </c>
      <c r="I354" s="1" t="s">
        <v>21</v>
      </c>
      <c r="J354" s="1" t="s">
        <v>21</v>
      </c>
      <c r="K354">
        <v>1500</v>
      </c>
      <c r="L354">
        <v>3055</v>
      </c>
      <c r="M354">
        <v>0</v>
      </c>
      <c r="N35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5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54" s="5">
        <v>48020051</v>
      </c>
      <c r="Q354" t="str">
        <f>IF(OR(digital_banking_transactions3[[#This Row],[Nominal_Bersih]]&lt;0,digital_banking_transactions3[[#This Row],[Nominal_Bersih]]=0),"Invalid","Valid")</f>
        <v>Valid</v>
      </c>
      <c r="R35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45483</v>
      </c>
      <c r="S354" s="1" t="str">
        <f>TEXT(digital_banking_transactions3[[#This Row],[Tanggal_Bersih]],"MMMM YYYY")</f>
        <v>July 2024</v>
      </c>
      <c r="T35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5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55" spans="1:21" x14ac:dyDescent="0.35">
      <c r="A355" s="1" t="s">
        <v>1490</v>
      </c>
      <c r="B355" s="1" t="s">
        <v>1491</v>
      </c>
      <c r="C355" s="1" t="s">
        <v>1492</v>
      </c>
      <c r="D355" s="1" t="s">
        <v>31</v>
      </c>
      <c r="E355" s="1" t="s">
        <v>17</v>
      </c>
      <c r="F355" s="1">
        <v>2662768</v>
      </c>
      <c r="G355" s="1" t="s">
        <v>41</v>
      </c>
      <c r="H355" s="1" t="s">
        <v>60</v>
      </c>
      <c r="I355" s="1" t="s">
        <v>21</v>
      </c>
      <c r="J355" s="1" t="s">
        <v>21</v>
      </c>
      <c r="K355">
        <v>2500</v>
      </c>
      <c r="L355">
        <v>1108</v>
      </c>
      <c r="M355">
        <v>0</v>
      </c>
      <c r="N35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5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55" s="5">
        <v>2662768</v>
      </c>
      <c r="Q355" t="str">
        <f>IF(OR(digital_banking_transactions3[[#This Row],[Nominal_Bersih]]&lt;0,digital_banking_transactions3[[#This Row],[Nominal_Bersih]]=0),"Invalid","Valid")</f>
        <v>Valid</v>
      </c>
      <c r="R35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45324</v>
      </c>
      <c r="S355" s="1" t="str">
        <f>TEXT(digital_banking_transactions3[[#This Row],[Tanggal_Bersih]],"MMMM YYYY")</f>
        <v>February 2024</v>
      </c>
      <c r="T35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5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56" spans="1:21" x14ac:dyDescent="0.35">
      <c r="A356" s="1" t="s">
        <v>1494</v>
      </c>
      <c r="B356" s="1" t="s">
        <v>1495</v>
      </c>
      <c r="C356" s="1" t="s">
        <v>1496</v>
      </c>
      <c r="D356" s="1" t="s">
        <v>75</v>
      </c>
      <c r="E356" s="1" t="s">
        <v>39</v>
      </c>
      <c r="F356" s="1">
        <v>30791600</v>
      </c>
      <c r="G356" s="1" t="s">
        <v>41</v>
      </c>
      <c r="H356" s="1" t="s">
        <v>42</v>
      </c>
      <c r="I356" s="1" t="s">
        <v>21</v>
      </c>
      <c r="J356" s="1" t="s">
        <v>79</v>
      </c>
      <c r="K356">
        <v>7500</v>
      </c>
      <c r="L356">
        <v>3803</v>
      </c>
      <c r="M356">
        <v>0</v>
      </c>
      <c r="N35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5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56" s="5">
        <v>30791600</v>
      </c>
      <c r="Q356" t="str">
        <f>IF(OR(digital_banking_transactions3[[#This Row],[Nominal_Bersih]]&lt;0,digital_banking_transactions3[[#This Row],[Nominal_Bersih]]=0),"Invalid","Valid")</f>
        <v>Valid</v>
      </c>
      <c r="R35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45425</v>
      </c>
      <c r="S356" s="1" t="str">
        <f>TEXT(digital_banking_transactions3[[#This Row],[Tanggal_Bersih]],"MMMM YYYY")</f>
        <v>May 2024</v>
      </c>
      <c r="T35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5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57" spans="1:21" x14ac:dyDescent="0.35">
      <c r="A357" s="1" t="s">
        <v>1498</v>
      </c>
      <c r="B357" s="1" t="s">
        <v>1499</v>
      </c>
      <c r="C357" s="1" t="s">
        <v>1500</v>
      </c>
      <c r="D357" s="1" t="s">
        <v>25</v>
      </c>
      <c r="E357" s="1" t="s">
        <v>94</v>
      </c>
      <c r="F357" s="1" t="s">
        <v>1501</v>
      </c>
      <c r="G357" s="1" t="s">
        <v>65</v>
      </c>
      <c r="H357" s="1" t="s">
        <v>42</v>
      </c>
      <c r="I357" s="1" t="s">
        <v>21</v>
      </c>
      <c r="J357" s="1" t="s">
        <v>79</v>
      </c>
      <c r="K357">
        <v>1500</v>
      </c>
      <c r="L357">
        <v>1829</v>
      </c>
      <c r="M357">
        <v>0</v>
      </c>
      <c r="N35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5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57" s="5" t="s">
        <v>1501</v>
      </c>
      <c r="Q357" t="str">
        <f>IF(OR(digital_banking_transactions3[[#This Row],[Nominal_Bersih]]&lt;0,digital_banking_transactions3[[#This Row],[Nominal_Bersih]]=0),"Invalid","Valid")</f>
        <v>Valid</v>
      </c>
      <c r="R35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45453</v>
      </c>
      <c r="S357" s="1" t="str">
        <f>TEXT(digital_banking_transactions3[[#This Row],[Tanggal_Bersih]],"MMMM YYYY")</f>
        <v>June 2024</v>
      </c>
      <c r="T35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5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58" spans="1:21" x14ac:dyDescent="0.35">
      <c r="A358" s="1" t="s">
        <v>1502</v>
      </c>
      <c r="B358" s="1" t="s">
        <v>1503</v>
      </c>
      <c r="C358" s="1" t="s">
        <v>1504</v>
      </c>
      <c r="D358" s="1" t="s">
        <v>25</v>
      </c>
      <c r="E358" s="1" t="s">
        <v>17</v>
      </c>
      <c r="F358" s="1" t="s">
        <v>1505</v>
      </c>
      <c r="G358" s="1" t="s">
        <v>41</v>
      </c>
      <c r="H358" s="1" t="s">
        <v>42</v>
      </c>
      <c r="I358" s="1" t="s">
        <v>21</v>
      </c>
      <c r="J358" s="1" t="s">
        <v>21</v>
      </c>
      <c r="K358">
        <v>2500</v>
      </c>
      <c r="L358">
        <v>575</v>
      </c>
      <c r="M358">
        <v>0</v>
      </c>
      <c r="N35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5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58" s="5" t="s">
        <v>1505</v>
      </c>
      <c r="Q358" t="str">
        <f>IF(OR(digital_banking_transactions3[[#This Row],[Nominal_Bersih]]&lt;0,digital_banking_transactions3[[#This Row],[Nominal_Bersih]]=0),"Invalid","Valid")</f>
        <v>Valid</v>
      </c>
      <c r="R35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45645</v>
      </c>
      <c r="S358" s="1" t="str">
        <f>TEXT(digital_banking_transactions3[[#This Row],[Tanggal_Bersih]],"MMMM YYYY")</f>
        <v>December 2024</v>
      </c>
      <c r="T35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5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59" spans="1:21" x14ac:dyDescent="0.35">
      <c r="A359" s="1" t="s">
        <v>1506</v>
      </c>
      <c r="B359" s="1" t="s">
        <v>1507</v>
      </c>
      <c r="C359" s="1" t="s">
        <v>1508</v>
      </c>
      <c r="D359" s="1" t="s">
        <v>546</v>
      </c>
      <c r="E359" s="1" t="s">
        <v>94</v>
      </c>
      <c r="F359" s="1" t="s">
        <v>1509</v>
      </c>
      <c r="G359" s="1" t="s">
        <v>264</v>
      </c>
      <c r="H359" s="1" t="s">
        <v>106</v>
      </c>
      <c r="I359" s="1" t="s">
        <v>21</v>
      </c>
      <c r="J359" s="1" t="s">
        <v>21</v>
      </c>
      <c r="K359">
        <v>1500</v>
      </c>
      <c r="L359">
        <v>876</v>
      </c>
      <c r="M359">
        <v>0</v>
      </c>
      <c r="N35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5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59" s="5" t="s">
        <v>1509</v>
      </c>
      <c r="Q359" t="str">
        <f>IF(OR(digital_banking_transactions3[[#This Row],[Nominal_Bersih]]&lt;0,digital_banking_transactions3[[#This Row],[Nominal_Bersih]]=0),"Invalid","Valid")</f>
        <v>Valid</v>
      </c>
      <c r="R35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45622</v>
      </c>
      <c r="S359" s="1" t="str">
        <f>TEXT(digital_banking_transactions3[[#This Row],[Tanggal_Bersih]],"MMMM YYYY")</f>
        <v>November 2024</v>
      </c>
      <c r="T35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5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60" spans="1:21" x14ac:dyDescent="0.35">
      <c r="A360" s="1" t="s">
        <v>1510</v>
      </c>
      <c r="B360" s="1" t="s">
        <v>1511</v>
      </c>
      <c r="C360" s="1" t="s">
        <v>1512</v>
      </c>
      <c r="D360" s="1" t="s">
        <v>167</v>
      </c>
      <c r="E360" s="1" t="s">
        <v>94</v>
      </c>
      <c r="F360" s="1">
        <v>2921698</v>
      </c>
      <c r="G360" s="1" t="s">
        <v>48</v>
      </c>
      <c r="H360" s="1" t="s">
        <v>35</v>
      </c>
      <c r="I360" s="1" t="s">
        <v>21</v>
      </c>
      <c r="J360" s="1" t="s">
        <v>21</v>
      </c>
      <c r="K360">
        <v>1500</v>
      </c>
      <c r="L360">
        <v>4435</v>
      </c>
      <c r="M360">
        <v>0</v>
      </c>
      <c r="N36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6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60" s="5">
        <v>2921698</v>
      </c>
      <c r="Q360" t="str">
        <f>IF(OR(digital_banking_transactions3[[#This Row],[Nominal_Bersih]]&lt;0,digital_banking_transactions3[[#This Row],[Nominal_Bersih]]=0),"Invalid","Valid")</f>
        <v>Valid</v>
      </c>
      <c r="R36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45591</v>
      </c>
      <c r="S360" s="1" t="str">
        <f>TEXT(digital_banking_transactions3[[#This Row],[Tanggal_Bersih]],"MMMM YYYY")</f>
        <v>October 2024</v>
      </c>
      <c r="T36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6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61" spans="1:21" x14ac:dyDescent="0.35">
      <c r="A361" s="1" t="s">
        <v>1514</v>
      </c>
      <c r="B361" s="1" t="s">
        <v>1515</v>
      </c>
      <c r="C361" s="1" t="s">
        <v>1516</v>
      </c>
      <c r="D361" s="1" t="s">
        <v>75</v>
      </c>
      <c r="E361" s="1" t="s">
        <v>94</v>
      </c>
      <c r="F361" s="1" t="s">
        <v>1517</v>
      </c>
      <c r="G361" s="1" t="s">
        <v>126</v>
      </c>
      <c r="H361" s="1" t="s">
        <v>35</v>
      </c>
      <c r="I361" s="1" t="s">
        <v>21</v>
      </c>
      <c r="J361" s="1" t="s">
        <v>79</v>
      </c>
      <c r="K361">
        <v>1500</v>
      </c>
      <c r="L361">
        <v>2537</v>
      </c>
      <c r="M361">
        <v>1</v>
      </c>
      <c r="N36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6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61" s="5" t="s">
        <v>1517</v>
      </c>
      <c r="Q361" t="str">
        <f>IF(OR(digital_banking_transactions3[[#This Row],[Nominal_Bersih]]&lt;0,digital_banking_transactions3[[#This Row],[Nominal_Bersih]]=0),"Invalid","Valid")</f>
        <v>Valid</v>
      </c>
      <c r="R36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45651</v>
      </c>
      <c r="S361" s="1" t="str">
        <f>TEXT(digital_banking_transactions3[[#This Row],[Tanggal_Bersih]],"MMMM YYYY")</f>
        <v>December 2024</v>
      </c>
      <c r="T36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6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62" spans="1:21" x14ac:dyDescent="0.35">
      <c r="A362" s="1" t="s">
        <v>1518</v>
      </c>
      <c r="B362" s="1" t="s">
        <v>1519</v>
      </c>
      <c r="C362" s="1" t="s">
        <v>1520</v>
      </c>
      <c r="D362" s="1" t="s">
        <v>58</v>
      </c>
      <c r="E362" s="1" t="s">
        <v>17</v>
      </c>
      <c r="F362" s="1" t="s">
        <v>1521</v>
      </c>
      <c r="G362" s="1" t="s">
        <v>195</v>
      </c>
      <c r="H362" s="1" t="s">
        <v>42</v>
      </c>
      <c r="I362" s="1" t="s">
        <v>21</v>
      </c>
      <c r="J362" s="1" t="s">
        <v>21</v>
      </c>
      <c r="K362">
        <v>2500</v>
      </c>
      <c r="L362">
        <v>2207</v>
      </c>
      <c r="M362">
        <v>0</v>
      </c>
      <c r="N36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6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62" s="5" t="s">
        <v>1521</v>
      </c>
      <c r="Q362" t="str">
        <f>IF(OR(digital_banking_transactions3[[#This Row],[Nominal_Bersih]]&lt;0,digital_banking_transactions3[[#This Row],[Nominal_Bersih]]=0),"Invalid","Valid")</f>
        <v>Valid</v>
      </c>
      <c r="R36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45625</v>
      </c>
      <c r="S362" s="1" t="str">
        <f>TEXT(digital_banking_transactions3[[#This Row],[Tanggal_Bersih]],"MMMM YYYY")</f>
        <v>November 2024</v>
      </c>
      <c r="T36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6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63" spans="1:21" x14ac:dyDescent="0.35">
      <c r="A363" s="1" t="s">
        <v>1522</v>
      </c>
      <c r="B363" s="1" t="s">
        <v>1523</v>
      </c>
      <c r="C363" s="1" t="s">
        <v>1524</v>
      </c>
      <c r="D363" s="1" t="s">
        <v>135</v>
      </c>
      <c r="E363" s="1" t="s">
        <v>17</v>
      </c>
      <c r="F363" s="1" t="s">
        <v>1525</v>
      </c>
      <c r="G363" s="1" t="s">
        <v>126</v>
      </c>
      <c r="H363" s="1" t="s">
        <v>54</v>
      </c>
      <c r="I363" s="1" t="s">
        <v>21</v>
      </c>
      <c r="J363" s="1" t="s">
        <v>286</v>
      </c>
      <c r="K363">
        <v>2500</v>
      </c>
      <c r="L363">
        <v>2800</v>
      </c>
      <c r="M363">
        <v>0</v>
      </c>
      <c r="N36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6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63" s="5" t="s">
        <v>1525</v>
      </c>
      <c r="Q363" t="str">
        <f>IF(OR(digital_banking_transactions3[[#This Row],[Nominal_Bersih]]&lt;0,digital_banking_transactions3[[#This Row],[Nominal_Bersih]]=0),"Invalid","Valid")</f>
        <v>Valid</v>
      </c>
      <c r="R36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45471</v>
      </c>
      <c r="S363" s="1" t="str">
        <f>TEXT(digital_banking_transactions3[[#This Row],[Tanggal_Bersih]],"MMMM YYYY")</f>
        <v>June 2024</v>
      </c>
      <c r="T36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6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64" spans="1:21" x14ac:dyDescent="0.35">
      <c r="A364" s="1" t="s">
        <v>1526</v>
      </c>
      <c r="B364" s="1" t="s">
        <v>1527</v>
      </c>
      <c r="C364" s="1" t="s">
        <v>1528</v>
      </c>
      <c r="D364" s="1" t="s">
        <v>284</v>
      </c>
      <c r="E364" s="1" t="s">
        <v>17</v>
      </c>
      <c r="F364" s="1" t="s">
        <v>1529</v>
      </c>
      <c r="G364" s="1" t="s">
        <v>65</v>
      </c>
      <c r="H364" s="1" t="s">
        <v>20</v>
      </c>
      <c r="I364" s="1" t="s">
        <v>21</v>
      </c>
      <c r="J364" s="1" t="s">
        <v>79</v>
      </c>
      <c r="K364">
        <v>2500</v>
      </c>
      <c r="L364">
        <v>2067</v>
      </c>
      <c r="M364">
        <v>0</v>
      </c>
      <c r="N36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6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64" s="5" t="s">
        <v>1529</v>
      </c>
      <c r="Q364" t="str">
        <f>IF(OR(digital_banking_transactions3[[#This Row],[Nominal_Bersih]]&lt;0,digital_banking_transactions3[[#This Row],[Nominal_Bersih]]=0),"Invalid","Valid")</f>
        <v>Valid</v>
      </c>
      <c r="R36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45540</v>
      </c>
      <c r="S364" s="1" t="str">
        <f>TEXT(digital_banking_transactions3[[#This Row],[Tanggal_Bersih]],"MMMM YYYY")</f>
        <v>September 2024</v>
      </c>
      <c r="T36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6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65" spans="1:21" x14ac:dyDescent="0.35">
      <c r="A365" s="1" t="s">
        <v>1530</v>
      </c>
      <c r="B365" s="1" t="s">
        <v>1531</v>
      </c>
      <c r="C365" s="1" t="s">
        <v>1532</v>
      </c>
      <c r="D365" s="1" t="s">
        <v>25</v>
      </c>
      <c r="E365" s="1" t="s">
        <v>32</v>
      </c>
      <c r="F365" s="1" t="s">
        <v>1533</v>
      </c>
      <c r="G365" s="1" t="s">
        <v>41</v>
      </c>
      <c r="H365" s="1" t="s">
        <v>106</v>
      </c>
      <c r="I365" s="1" t="s">
        <v>21</v>
      </c>
      <c r="J365" s="1" t="s">
        <v>21</v>
      </c>
      <c r="K365">
        <v>0</v>
      </c>
      <c r="L365">
        <v>951</v>
      </c>
      <c r="M365">
        <v>0</v>
      </c>
      <c r="N36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6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65" s="5" t="s">
        <v>1533</v>
      </c>
      <c r="Q365" t="str">
        <f>IF(OR(digital_banking_transactions3[[#This Row],[Nominal_Bersih]]&lt;0,digital_banking_transactions3[[#This Row],[Nominal_Bersih]]=0),"Invalid","Valid")</f>
        <v>Valid</v>
      </c>
      <c r="R36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45407</v>
      </c>
      <c r="S365" s="1" t="str">
        <f>TEXT(digital_banking_transactions3[[#This Row],[Tanggal_Bersih]],"MMMM YYYY")</f>
        <v>April 2024</v>
      </c>
      <c r="T36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6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66" spans="1:21" x14ac:dyDescent="0.35">
      <c r="A366" s="1" t="s">
        <v>1534</v>
      </c>
      <c r="B366" s="1" t="s">
        <v>1535</v>
      </c>
      <c r="C366" s="1" t="s">
        <v>1536</v>
      </c>
      <c r="D366" s="1" t="s">
        <v>25</v>
      </c>
      <c r="E366" s="1" t="s">
        <v>39</v>
      </c>
      <c r="F366" s="1">
        <v>3407762</v>
      </c>
      <c r="G366" s="1" t="s">
        <v>126</v>
      </c>
      <c r="H366" s="1" t="s">
        <v>35</v>
      </c>
      <c r="I366" s="1" t="s">
        <v>21</v>
      </c>
      <c r="J366" s="1" t="s">
        <v>21</v>
      </c>
      <c r="K366">
        <v>7500</v>
      </c>
      <c r="L366">
        <v>4039</v>
      </c>
      <c r="M366">
        <v>0</v>
      </c>
      <c r="N36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6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66" s="5">
        <v>3407762</v>
      </c>
      <c r="Q366" t="str">
        <f>IF(OR(digital_banking_transactions3[[#This Row],[Nominal_Bersih]]&lt;0,digital_banking_transactions3[[#This Row],[Nominal_Bersih]]=0),"Invalid","Valid")</f>
        <v>Valid</v>
      </c>
      <c r="R36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45653</v>
      </c>
      <c r="S366" s="1" t="str">
        <f>TEXT(digital_banking_transactions3[[#This Row],[Tanggal_Bersih]],"MMMM YYYY")</f>
        <v>December 2024</v>
      </c>
      <c r="T36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6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67" spans="1:21" x14ac:dyDescent="0.35">
      <c r="A367" s="1" t="s">
        <v>1538</v>
      </c>
      <c r="B367" s="1" t="s">
        <v>1539</v>
      </c>
      <c r="C367" s="1" t="s">
        <v>1540</v>
      </c>
      <c r="D367" s="1" t="s">
        <v>25</v>
      </c>
      <c r="E367" s="1" t="s">
        <v>32</v>
      </c>
      <c r="F367" s="1" t="s">
        <v>1541</v>
      </c>
      <c r="G367" s="1" t="s">
        <v>381</v>
      </c>
      <c r="H367" s="1" t="s">
        <v>42</v>
      </c>
      <c r="I367" s="1" t="s">
        <v>21</v>
      </c>
      <c r="J367" s="1" t="s">
        <v>71</v>
      </c>
      <c r="K367">
        <v>0</v>
      </c>
      <c r="L367">
        <v>2715</v>
      </c>
      <c r="M367">
        <v>0</v>
      </c>
      <c r="N36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6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67" s="5" t="s">
        <v>1541</v>
      </c>
      <c r="Q367" t="str">
        <f>IF(OR(digital_banking_transactions3[[#This Row],[Nominal_Bersih]]&lt;0,digital_banking_transactions3[[#This Row],[Nominal_Bersih]]=0),"Invalid","Valid")</f>
        <v>Valid</v>
      </c>
      <c r="R36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45297</v>
      </c>
      <c r="S367" s="1" t="str">
        <f>TEXT(digital_banking_transactions3[[#This Row],[Tanggal_Bersih]],"MMMM YYYY")</f>
        <v>January 2024</v>
      </c>
      <c r="T36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6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68" spans="1:21" x14ac:dyDescent="0.35">
      <c r="A368" s="1" t="s">
        <v>1542</v>
      </c>
      <c r="B368" s="1" t="s">
        <v>1543</v>
      </c>
      <c r="C368" s="1" t="s">
        <v>1544</v>
      </c>
      <c r="D368" s="1" t="s">
        <v>58</v>
      </c>
      <c r="E368" s="1" t="s">
        <v>52</v>
      </c>
      <c r="F368" s="4">
        <v>2934317</v>
      </c>
      <c r="G368" s="1" t="s">
        <v>65</v>
      </c>
      <c r="H368" s="1" t="s">
        <v>77</v>
      </c>
      <c r="I368" s="1" t="s">
        <v>131</v>
      </c>
      <c r="J368" s="1" t="s">
        <v>21</v>
      </c>
      <c r="K368">
        <v>6500</v>
      </c>
      <c r="L368">
        <v>2659</v>
      </c>
      <c r="M368">
        <v>0</v>
      </c>
      <c r="N36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6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68" s="5">
        <v>2934317</v>
      </c>
      <c r="Q368" t="str">
        <f>IF(OR(digital_banking_transactions3[[#This Row],[Nominal_Bersih]]&lt;0,digital_banking_transactions3[[#This Row],[Nominal_Bersih]]=0),"Invalid","Valid")</f>
        <v>Valid</v>
      </c>
      <c r="R36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45562</v>
      </c>
      <c r="S368" s="1" t="str">
        <f>TEXT(digital_banking_transactions3[[#This Row],[Tanggal_Bersih]],"MMMM YYYY")</f>
        <v>September 2024</v>
      </c>
      <c r="T36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6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69" spans="1:21" x14ac:dyDescent="0.35">
      <c r="A369" s="1" t="s">
        <v>1546</v>
      </c>
      <c r="B369" s="1" t="s">
        <v>1547</v>
      </c>
      <c r="C369" s="1" t="s">
        <v>1548</v>
      </c>
      <c r="D369" s="1" t="s">
        <v>75</v>
      </c>
      <c r="E369" s="1" t="s">
        <v>32</v>
      </c>
      <c r="F369" s="1">
        <v>39596700</v>
      </c>
      <c r="G369" s="1" t="s">
        <v>65</v>
      </c>
      <c r="H369" s="1" t="s">
        <v>42</v>
      </c>
      <c r="I369" s="1" t="s">
        <v>21</v>
      </c>
      <c r="J369" s="1" t="s">
        <v>71</v>
      </c>
      <c r="K369">
        <v>0</v>
      </c>
      <c r="L369">
        <v>896</v>
      </c>
      <c r="M369">
        <v>1</v>
      </c>
      <c r="N36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6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69" s="5">
        <v>39596700</v>
      </c>
      <c r="Q369" t="str">
        <f>IF(OR(digital_banking_transactions3[[#This Row],[Nominal_Bersih]]&lt;0,digital_banking_transactions3[[#This Row],[Nominal_Bersih]]=0),"Invalid","Valid")</f>
        <v>Valid</v>
      </c>
      <c r="R36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45312</v>
      </c>
      <c r="S369" s="1" t="str">
        <f>TEXT(digital_banking_transactions3[[#This Row],[Tanggal_Bersih]],"MMMM YYYY")</f>
        <v>January 2024</v>
      </c>
      <c r="T36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6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70" spans="1:21" x14ac:dyDescent="0.35">
      <c r="A370" s="1" t="s">
        <v>1550</v>
      </c>
      <c r="B370" s="1" t="s">
        <v>1551</v>
      </c>
      <c r="C370" s="1" t="s">
        <v>1552</v>
      </c>
      <c r="D370" s="1" t="s">
        <v>16</v>
      </c>
      <c r="E370" s="1" t="s">
        <v>17</v>
      </c>
      <c r="F370" s="4">
        <v>304213</v>
      </c>
      <c r="G370" s="1" t="s">
        <v>264</v>
      </c>
      <c r="H370" s="1" t="s">
        <v>54</v>
      </c>
      <c r="I370" s="1" t="s">
        <v>21</v>
      </c>
      <c r="J370" s="1" t="s">
        <v>21</v>
      </c>
      <c r="K370">
        <v>2500</v>
      </c>
      <c r="L370">
        <v>398</v>
      </c>
      <c r="M370">
        <v>0</v>
      </c>
      <c r="N37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7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70" s="5">
        <v>304213</v>
      </c>
      <c r="Q370" t="str">
        <f>IF(OR(digital_banking_transactions3[[#This Row],[Nominal_Bersih]]&lt;0,digital_banking_transactions3[[#This Row],[Nominal_Bersih]]=0),"Invalid","Valid")</f>
        <v>Valid</v>
      </c>
      <c r="R37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45361</v>
      </c>
      <c r="S370" s="1" t="str">
        <f>TEXT(digital_banking_transactions3[[#This Row],[Tanggal_Bersih]],"MMMM YYYY")</f>
        <v>March 2024</v>
      </c>
      <c r="T37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7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71" spans="1:21" x14ac:dyDescent="0.35">
      <c r="A371" s="1" t="s">
        <v>1554</v>
      </c>
      <c r="B371" s="1" t="s">
        <v>1555</v>
      </c>
      <c r="C371" s="1" t="s">
        <v>1556</v>
      </c>
      <c r="D371" s="1" t="s">
        <v>75</v>
      </c>
      <c r="E371" s="1" t="s">
        <v>32</v>
      </c>
      <c r="F371" s="1">
        <v>4340192</v>
      </c>
      <c r="G371" s="1" t="s">
        <v>41</v>
      </c>
      <c r="H371" s="1" t="s">
        <v>35</v>
      </c>
      <c r="I371" s="1" t="s">
        <v>21</v>
      </c>
      <c r="J371" s="1" t="s">
        <v>71</v>
      </c>
      <c r="K371">
        <v>0</v>
      </c>
      <c r="L371">
        <v>851</v>
      </c>
      <c r="M371">
        <v>0</v>
      </c>
      <c r="N37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7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71" s="5">
        <v>4340192</v>
      </c>
      <c r="Q371" t="str">
        <f>IF(OR(digital_banking_transactions3[[#This Row],[Nominal_Bersih]]&lt;0,digital_banking_transactions3[[#This Row],[Nominal_Bersih]]=0),"Invalid","Valid")</f>
        <v>Valid</v>
      </c>
      <c r="R37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45582</v>
      </c>
      <c r="S371" s="1" t="str">
        <f>TEXT(digital_banking_transactions3[[#This Row],[Tanggal_Bersih]],"MMMM YYYY")</f>
        <v>October 2024</v>
      </c>
      <c r="T37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7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72" spans="1:21" x14ac:dyDescent="0.35">
      <c r="A372" s="1" t="s">
        <v>1558</v>
      </c>
      <c r="B372" s="1" t="s">
        <v>1559</v>
      </c>
      <c r="C372" s="1" t="s">
        <v>1560</v>
      </c>
      <c r="D372" s="1" t="s">
        <v>58</v>
      </c>
      <c r="E372" s="1" t="s">
        <v>52</v>
      </c>
      <c r="F372" s="1" t="s">
        <v>1561</v>
      </c>
      <c r="G372" s="1" t="s">
        <v>41</v>
      </c>
      <c r="H372" s="1" t="s">
        <v>20</v>
      </c>
      <c r="I372" s="1" t="s">
        <v>21</v>
      </c>
      <c r="J372" s="1" t="s">
        <v>21</v>
      </c>
      <c r="K372">
        <v>6500</v>
      </c>
      <c r="L372">
        <v>3176</v>
      </c>
      <c r="M372">
        <v>0</v>
      </c>
      <c r="N37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7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72" s="5" t="s">
        <v>1561</v>
      </c>
      <c r="Q372" t="str">
        <f>IF(OR(digital_banking_transactions3[[#This Row],[Nominal_Bersih]]&lt;0,digital_banking_transactions3[[#This Row],[Nominal_Bersih]]=0),"Invalid","Valid")</f>
        <v>Valid</v>
      </c>
      <c r="R37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45308</v>
      </c>
      <c r="S372" s="1" t="str">
        <f>TEXT(digital_banking_transactions3[[#This Row],[Tanggal_Bersih]],"MMMM YYYY")</f>
        <v>January 2024</v>
      </c>
      <c r="T37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7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73" spans="1:21" x14ac:dyDescent="0.35">
      <c r="A373" s="1" t="s">
        <v>1562</v>
      </c>
      <c r="B373" s="1" t="s">
        <v>1563</v>
      </c>
      <c r="C373" s="1" t="s">
        <v>1564</v>
      </c>
      <c r="D373" s="1" t="s">
        <v>150</v>
      </c>
      <c r="E373" s="1" t="s">
        <v>17</v>
      </c>
      <c r="F373" s="1" t="s">
        <v>1565</v>
      </c>
      <c r="G373" s="1" t="s">
        <v>126</v>
      </c>
      <c r="H373" s="1" t="s">
        <v>106</v>
      </c>
      <c r="I373" s="1" t="s">
        <v>21</v>
      </c>
      <c r="J373" s="1" t="s">
        <v>71</v>
      </c>
      <c r="K373">
        <v>2500</v>
      </c>
      <c r="L373">
        <v>2654</v>
      </c>
      <c r="M373">
        <v>0</v>
      </c>
      <c r="N37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7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73" s="5" t="s">
        <v>1565</v>
      </c>
      <c r="Q373" t="str">
        <f>IF(OR(digital_banking_transactions3[[#This Row],[Nominal_Bersih]]&lt;0,digital_banking_transactions3[[#This Row],[Nominal_Bersih]]=0),"Invalid","Valid")</f>
        <v>Valid</v>
      </c>
      <c r="R37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45584</v>
      </c>
      <c r="S373" s="1" t="str">
        <f>TEXT(digital_banking_transactions3[[#This Row],[Tanggal_Bersih]],"MMMM YYYY")</f>
        <v>October 2024</v>
      </c>
      <c r="T37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7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74" spans="1:21" x14ac:dyDescent="0.35">
      <c r="A374" s="1" t="s">
        <v>1566</v>
      </c>
      <c r="B374" s="1" t="s">
        <v>1567</v>
      </c>
      <c r="C374" s="1" t="s">
        <v>1568</v>
      </c>
      <c r="D374" s="1" t="s">
        <v>25</v>
      </c>
      <c r="E374" s="1" t="s">
        <v>32</v>
      </c>
      <c r="F374" s="1" t="s">
        <v>1569</v>
      </c>
      <c r="G374" s="1" t="s">
        <v>137</v>
      </c>
      <c r="H374" s="1" t="s">
        <v>42</v>
      </c>
      <c r="I374" s="1" t="s">
        <v>21</v>
      </c>
      <c r="J374" s="1" t="s">
        <v>121</v>
      </c>
      <c r="K374">
        <v>0</v>
      </c>
      <c r="L374">
        <v>3028</v>
      </c>
      <c r="M374">
        <v>1</v>
      </c>
      <c r="N37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7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74" s="5" t="s">
        <v>1569</v>
      </c>
      <c r="Q374" t="str">
        <f>IF(OR(digital_banking_transactions3[[#This Row],[Nominal_Bersih]]&lt;0,digital_banking_transactions3[[#This Row],[Nominal_Bersih]]=0),"Invalid","Valid")</f>
        <v>Valid</v>
      </c>
      <c r="R37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45523</v>
      </c>
      <c r="S374" s="1" t="str">
        <f>TEXT(digital_banking_transactions3[[#This Row],[Tanggal_Bersih]],"MMMM YYYY")</f>
        <v>August 2024</v>
      </c>
      <c r="T37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7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75" spans="1:21" x14ac:dyDescent="0.35">
      <c r="A375" s="1" t="s">
        <v>1570</v>
      </c>
      <c r="B375" s="1" t="s">
        <v>1112</v>
      </c>
      <c r="C375" s="1" t="s">
        <v>1571</v>
      </c>
      <c r="D375" s="1" t="s">
        <v>25</v>
      </c>
      <c r="E375" s="1" t="s">
        <v>39</v>
      </c>
      <c r="F375" s="1">
        <v>3384930500</v>
      </c>
      <c r="G375" s="1" t="s">
        <v>41</v>
      </c>
      <c r="H375" s="1" t="s">
        <v>106</v>
      </c>
      <c r="I375" s="1" t="s">
        <v>21</v>
      </c>
      <c r="J375" s="1" t="s">
        <v>71</v>
      </c>
      <c r="K375">
        <v>7500</v>
      </c>
      <c r="L375">
        <v>2124</v>
      </c>
      <c r="M375">
        <v>0</v>
      </c>
      <c r="N37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7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75" s="5">
        <v>3384930500</v>
      </c>
      <c r="Q375" t="str">
        <f>IF(OR(digital_banking_transactions3[[#This Row],[Nominal_Bersih]]&lt;0,digital_banking_transactions3[[#This Row],[Nominal_Bersih]]=0),"Invalid","Valid")</f>
        <v>Valid</v>
      </c>
      <c r="R37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45381</v>
      </c>
      <c r="S375" s="1" t="str">
        <f>TEXT(digital_banking_transactions3[[#This Row],[Tanggal_Bersih]],"MMMM YYYY")</f>
        <v>March 2024</v>
      </c>
      <c r="T37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7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76" spans="1:21" x14ac:dyDescent="0.35">
      <c r="A376" s="1" t="s">
        <v>1573</v>
      </c>
      <c r="B376" s="1" t="s">
        <v>1574</v>
      </c>
      <c r="C376" s="1" t="s">
        <v>1575</v>
      </c>
      <c r="D376" s="1" t="s">
        <v>58</v>
      </c>
      <c r="E376" s="1" t="s">
        <v>39</v>
      </c>
      <c r="F376" s="1">
        <v>33505956</v>
      </c>
      <c r="G376" s="1" t="s">
        <v>195</v>
      </c>
      <c r="H376" s="1" t="s">
        <v>42</v>
      </c>
      <c r="I376" s="1" t="s">
        <v>21</v>
      </c>
      <c r="J376" s="1" t="s">
        <v>21</v>
      </c>
      <c r="K376">
        <v>7500</v>
      </c>
      <c r="L376">
        <v>1127</v>
      </c>
      <c r="M376">
        <v>0</v>
      </c>
      <c r="N37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7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76" s="5">
        <v>33505956</v>
      </c>
      <c r="Q376" t="str">
        <f>IF(OR(digital_banking_transactions3[[#This Row],[Nominal_Bersih]]&lt;0,digital_banking_transactions3[[#This Row],[Nominal_Bersih]]=0),"Invalid","Valid")</f>
        <v>Valid</v>
      </c>
      <c r="R37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45384</v>
      </c>
      <c r="S376" s="1" t="str">
        <f>TEXT(digital_banking_transactions3[[#This Row],[Tanggal_Bersih]],"MMMM YYYY")</f>
        <v>April 2024</v>
      </c>
      <c r="T37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7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77" spans="1:21" x14ac:dyDescent="0.35">
      <c r="A377" s="1" t="s">
        <v>1577</v>
      </c>
      <c r="B377" s="1" t="s">
        <v>1578</v>
      </c>
      <c r="C377" s="1" t="s">
        <v>1579</v>
      </c>
      <c r="D377" s="1" t="s">
        <v>16</v>
      </c>
      <c r="E377" s="1" t="s">
        <v>52</v>
      </c>
      <c r="F377" s="1">
        <v>5588600</v>
      </c>
      <c r="G377" s="1" t="s">
        <v>65</v>
      </c>
      <c r="H377" s="1" t="s">
        <v>54</v>
      </c>
      <c r="I377" s="1" t="s">
        <v>112</v>
      </c>
      <c r="J377" s="1" t="s">
        <v>21</v>
      </c>
      <c r="K377">
        <v>6500</v>
      </c>
      <c r="L377">
        <v>248</v>
      </c>
      <c r="M377">
        <v>0</v>
      </c>
      <c r="N37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7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77" s="5">
        <v>5588600</v>
      </c>
      <c r="Q377" t="str">
        <f>IF(OR(digital_banking_transactions3[[#This Row],[Nominal_Bersih]]&lt;0,digital_banking_transactions3[[#This Row],[Nominal_Bersih]]=0),"Invalid","Valid")</f>
        <v>Valid</v>
      </c>
      <c r="R37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45328</v>
      </c>
      <c r="S377" s="1" t="str">
        <f>TEXT(digital_banking_transactions3[[#This Row],[Tanggal_Bersih]],"MMMM YYYY")</f>
        <v>February 2024</v>
      </c>
      <c r="T37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7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78" spans="1:21" x14ac:dyDescent="0.35">
      <c r="A378" s="1" t="s">
        <v>1581</v>
      </c>
      <c r="B378" s="1" t="s">
        <v>1582</v>
      </c>
      <c r="C378" s="1" t="s">
        <v>1583</v>
      </c>
      <c r="D378" s="1" t="s">
        <v>25</v>
      </c>
      <c r="E378" s="1" t="s">
        <v>32</v>
      </c>
      <c r="F378" s="1" t="s">
        <v>1584</v>
      </c>
      <c r="G378" s="1" t="s">
        <v>126</v>
      </c>
      <c r="H378" s="1" t="s">
        <v>54</v>
      </c>
      <c r="I378" s="1" t="s">
        <v>21</v>
      </c>
      <c r="J378" s="1" t="s">
        <v>21</v>
      </c>
      <c r="K378">
        <v>0</v>
      </c>
      <c r="L378">
        <v>4939</v>
      </c>
      <c r="M378">
        <v>0</v>
      </c>
      <c r="N37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7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78" s="5" t="s">
        <v>1584</v>
      </c>
      <c r="Q378" t="str">
        <f>IF(OR(digital_banking_transactions3[[#This Row],[Nominal_Bersih]]&lt;0,digital_banking_transactions3[[#This Row],[Nominal_Bersih]]=0),"Invalid","Valid")</f>
        <v>Valid</v>
      </c>
      <c r="R37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45526</v>
      </c>
      <c r="S378" s="1" t="str">
        <f>TEXT(digital_banking_transactions3[[#This Row],[Tanggal_Bersih]],"MMMM YYYY")</f>
        <v>August 2024</v>
      </c>
      <c r="T37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7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79" spans="1:21" x14ac:dyDescent="0.35">
      <c r="A379" s="1" t="s">
        <v>1585</v>
      </c>
      <c r="B379" s="1" t="s">
        <v>1586</v>
      </c>
      <c r="C379" s="1" t="s">
        <v>1587</v>
      </c>
      <c r="D379" s="1" t="s">
        <v>25</v>
      </c>
      <c r="E379" s="1" t="s">
        <v>17</v>
      </c>
      <c r="F379" s="1" t="s">
        <v>1588</v>
      </c>
      <c r="G379" s="1" t="s">
        <v>126</v>
      </c>
      <c r="H379" s="1" t="s">
        <v>60</v>
      </c>
      <c r="I379" s="1" t="s">
        <v>21</v>
      </c>
      <c r="J379" s="1" t="s">
        <v>121</v>
      </c>
      <c r="K379">
        <v>2500</v>
      </c>
      <c r="L379">
        <v>4762</v>
      </c>
      <c r="M379">
        <v>0</v>
      </c>
      <c r="N37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7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79" s="5" t="s">
        <v>1588</v>
      </c>
      <c r="Q379" t="str">
        <f>IF(OR(digital_banking_transactions3[[#This Row],[Nominal_Bersih]]&lt;0,digital_banking_transactions3[[#This Row],[Nominal_Bersih]]=0),"Invalid","Valid")</f>
        <v>Valid</v>
      </c>
      <c r="R37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45390</v>
      </c>
      <c r="S379" s="1" t="str">
        <f>TEXT(digital_banking_transactions3[[#This Row],[Tanggal_Bersih]],"MMMM YYYY")</f>
        <v>April 2024</v>
      </c>
      <c r="T37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7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80" spans="1:21" x14ac:dyDescent="0.35">
      <c r="A380" s="1" t="s">
        <v>1589</v>
      </c>
      <c r="B380" s="1" t="s">
        <v>1590</v>
      </c>
      <c r="C380" s="1" t="s">
        <v>1591</v>
      </c>
      <c r="D380" s="1" t="s">
        <v>75</v>
      </c>
      <c r="E380" s="1" t="s">
        <v>94</v>
      </c>
      <c r="F380" s="1">
        <v>2943863</v>
      </c>
      <c r="G380" s="1" t="s">
        <v>41</v>
      </c>
      <c r="H380" s="1" t="s">
        <v>54</v>
      </c>
      <c r="I380" s="1" t="s">
        <v>21</v>
      </c>
      <c r="J380" s="1" t="s">
        <v>71</v>
      </c>
      <c r="K380">
        <v>1500</v>
      </c>
      <c r="L380">
        <v>3626</v>
      </c>
      <c r="M380">
        <v>0</v>
      </c>
      <c r="N38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8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80" s="5">
        <v>2943863</v>
      </c>
      <c r="Q380" t="str">
        <f>IF(OR(digital_banking_transactions3[[#This Row],[Nominal_Bersih]]&lt;0,digital_banking_transactions3[[#This Row],[Nominal_Bersih]]=0),"Invalid","Valid")</f>
        <v>Valid</v>
      </c>
      <c r="R38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45641</v>
      </c>
      <c r="S380" s="1" t="str">
        <f>TEXT(digital_banking_transactions3[[#This Row],[Tanggal_Bersih]],"MMMM YYYY")</f>
        <v>December 2024</v>
      </c>
      <c r="T38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8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81" spans="1:21" x14ac:dyDescent="0.35">
      <c r="A381" s="1" t="s">
        <v>1593</v>
      </c>
      <c r="B381" s="1" t="s">
        <v>1594</v>
      </c>
      <c r="C381" s="1" t="s">
        <v>1595</v>
      </c>
      <c r="D381" s="1" t="s">
        <v>16</v>
      </c>
      <c r="E381" s="1" t="s">
        <v>32</v>
      </c>
      <c r="F381" s="4">
        <v>17169</v>
      </c>
      <c r="G381" s="1" t="s">
        <v>126</v>
      </c>
      <c r="H381" s="1" t="s">
        <v>77</v>
      </c>
      <c r="I381" s="1" t="s">
        <v>21</v>
      </c>
      <c r="J381" s="1" t="s">
        <v>21</v>
      </c>
      <c r="K381">
        <v>0</v>
      </c>
      <c r="L381">
        <v>4068</v>
      </c>
      <c r="M381">
        <v>0</v>
      </c>
      <c r="N38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8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81" s="5">
        <v>17169</v>
      </c>
      <c r="Q381" t="str">
        <f>IF(OR(digital_banking_transactions3[[#This Row],[Nominal_Bersih]]&lt;0,digital_banking_transactions3[[#This Row],[Nominal_Bersih]]=0),"Invalid","Valid")</f>
        <v>Valid</v>
      </c>
      <c r="R38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45306</v>
      </c>
      <c r="S381" s="1" t="str">
        <f>TEXT(digital_banking_transactions3[[#This Row],[Tanggal_Bersih]],"MMMM YYYY")</f>
        <v>January 2024</v>
      </c>
      <c r="T38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8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82" spans="1:21" x14ac:dyDescent="0.35">
      <c r="A382" s="1" t="s">
        <v>1597</v>
      </c>
      <c r="B382" s="1" t="s">
        <v>1598</v>
      </c>
      <c r="C382" s="1" t="s">
        <v>1599</v>
      </c>
      <c r="D382" s="1" t="s">
        <v>16</v>
      </c>
      <c r="E382" s="1" t="s">
        <v>32</v>
      </c>
      <c r="F382" s="1" t="s">
        <v>1600</v>
      </c>
      <c r="G382" s="1" t="s">
        <v>65</v>
      </c>
      <c r="H382" s="1" t="s">
        <v>106</v>
      </c>
      <c r="I382" s="1" t="s">
        <v>21</v>
      </c>
      <c r="J382" s="1" t="s">
        <v>21</v>
      </c>
      <c r="L382">
        <v>2963</v>
      </c>
      <c r="M382">
        <v>0</v>
      </c>
      <c r="N38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8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82" s="5" t="s">
        <v>1600</v>
      </c>
      <c r="Q382" t="str">
        <f>IF(OR(digital_banking_transactions3[[#This Row],[Nominal_Bersih]]&lt;0,digital_banking_transactions3[[#This Row],[Nominal_Bersih]]=0),"Invalid","Valid")</f>
        <v>Valid</v>
      </c>
      <c r="R38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45315</v>
      </c>
      <c r="S382" s="1" t="str">
        <f>TEXT(digital_banking_transactions3[[#This Row],[Tanggal_Bersih]],"MMMM YYYY")</f>
        <v>January 2024</v>
      </c>
      <c r="T38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8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83" spans="1:21" x14ac:dyDescent="0.35">
      <c r="A383" s="1" t="s">
        <v>1601</v>
      </c>
      <c r="B383" s="1" t="s">
        <v>1602</v>
      </c>
      <c r="C383" s="1" t="s">
        <v>1603</v>
      </c>
      <c r="D383" s="1" t="s">
        <v>25</v>
      </c>
      <c r="E383" s="1" t="s">
        <v>32</v>
      </c>
      <c r="F383" s="1">
        <v>489938900</v>
      </c>
      <c r="G383" s="1" t="s">
        <v>48</v>
      </c>
      <c r="H383" s="1" t="s">
        <v>42</v>
      </c>
      <c r="I383" s="1" t="s">
        <v>21</v>
      </c>
      <c r="J383" s="1" t="s">
        <v>21</v>
      </c>
      <c r="K383">
        <v>0</v>
      </c>
      <c r="L383">
        <v>3845</v>
      </c>
      <c r="M383">
        <v>0</v>
      </c>
      <c r="N38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8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83" s="5">
        <v>489938900</v>
      </c>
      <c r="Q383" t="str">
        <f>IF(OR(digital_banking_transactions3[[#This Row],[Nominal_Bersih]]&lt;0,digital_banking_transactions3[[#This Row],[Nominal_Bersih]]=0),"Invalid","Valid")</f>
        <v>Valid</v>
      </c>
      <c r="R38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45572</v>
      </c>
      <c r="S383" s="1" t="str">
        <f>TEXT(digital_banking_transactions3[[#This Row],[Tanggal_Bersih]],"MMMM YYYY")</f>
        <v>October 2024</v>
      </c>
      <c r="T38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8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84" spans="1:21" x14ac:dyDescent="0.35">
      <c r="A384" s="1" t="s">
        <v>1605</v>
      </c>
      <c r="B384" s="1" t="s">
        <v>1606</v>
      </c>
      <c r="C384" s="1" t="s">
        <v>1607</v>
      </c>
      <c r="D384" s="1" t="s">
        <v>16</v>
      </c>
      <c r="E384" s="1" t="s">
        <v>52</v>
      </c>
      <c r="F384" s="4">
        <v>1686387</v>
      </c>
      <c r="G384" s="1" t="s">
        <v>264</v>
      </c>
      <c r="H384" s="1" t="s">
        <v>42</v>
      </c>
      <c r="I384" s="1" t="s">
        <v>112</v>
      </c>
      <c r="J384" s="1" t="s">
        <v>21</v>
      </c>
      <c r="K384">
        <v>6500</v>
      </c>
      <c r="L384">
        <v>965</v>
      </c>
      <c r="M384">
        <v>0</v>
      </c>
      <c r="N38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8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84" s="5">
        <v>1686387</v>
      </c>
      <c r="Q384" t="str">
        <f>IF(OR(digital_banking_transactions3[[#This Row],[Nominal_Bersih]]&lt;0,digital_banking_transactions3[[#This Row],[Nominal_Bersih]]=0),"Invalid","Valid")</f>
        <v>Valid</v>
      </c>
      <c r="R38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45421</v>
      </c>
      <c r="S384" s="1" t="str">
        <f>TEXT(digital_banking_transactions3[[#This Row],[Tanggal_Bersih]],"MMMM YYYY")</f>
        <v>May 2024</v>
      </c>
      <c r="T38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8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85" spans="1:21" x14ac:dyDescent="0.35">
      <c r="A385" s="1" t="s">
        <v>1609</v>
      </c>
      <c r="B385" s="1" t="s">
        <v>1610</v>
      </c>
      <c r="C385" s="1" t="s">
        <v>1611</v>
      </c>
      <c r="D385" s="1" t="s">
        <v>46</v>
      </c>
      <c r="E385" s="1" t="s">
        <v>52</v>
      </c>
      <c r="F385" s="4">
        <v>4165967</v>
      </c>
      <c r="G385" s="1" t="s">
        <v>27</v>
      </c>
      <c r="H385" s="1" t="s">
        <v>106</v>
      </c>
      <c r="I385" s="1" t="s">
        <v>66</v>
      </c>
      <c r="J385" s="1" t="s">
        <v>21</v>
      </c>
      <c r="K385">
        <v>6500</v>
      </c>
      <c r="L385">
        <v>682</v>
      </c>
      <c r="M385">
        <v>0</v>
      </c>
      <c r="N38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8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85" s="5">
        <v>4165967</v>
      </c>
      <c r="Q385" t="str">
        <f>IF(OR(digital_banking_transactions3[[#This Row],[Nominal_Bersih]]&lt;0,digital_banking_transactions3[[#This Row],[Nominal_Bersih]]=0),"Invalid","Valid")</f>
        <v>Valid</v>
      </c>
      <c r="R38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45565</v>
      </c>
      <c r="S385" s="1" t="str">
        <f>TEXT(digital_banking_transactions3[[#This Row],[Tanggal_Bersih]],"MMMM YYYY")</f>
        <v>September 2024</v>
      </c>
      <c r="T38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8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86" spans="1:21" x14ac:dyDescent="0.35">
      <c r="A386" s="1" t="s">
        <v>1613</v>
      </c>
      <c r="B386" s="1" t="s">
        <v>1080</v>
      </c>
      <c r="C386" s="1" t="s">
        <v>1614</v>
      </c>
      <c r="D386" s="1" t="s">
        <v>150</v>
      </c>
      <c r="E386" s="1" t="s">
        <v>17</v>
      </c>
      <c r="F386" s="1">
        <v>358022000</v>
      </c>
      <c r="G386" s="1" t="s">
        <v>65</v>
      </c>
      <c r="H386" s="1" t="s">
        <v>20</v>
      </c>
      <c r="I386" s="1" t="s">
        <v>21</v>
      </c>
      <c r="J386" s="1" t="s">
        <v>21</v>
      </c>
      <c r="K386">
        <v>2500</v>
      </c>
      <c r="L386">
        <v>4213</v>
      </c>
      <c r="M386">
        <v>1</v>
      </c>
      <c r="N38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8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86" s="5">
        <v>358022000</v>
      </c>
      <c r="Q386" t="str">
        <f>IF(OR(digital_banking_transactions3[[#This Row],[Nominal_Bersih]]&lt;0,digital_banking_transactions3[[#This Row],[Nominal_Bersih]]=0),"Invalid","Valid")</f>
        <v>Valid</v>
      </c>
      <c r="R38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45493</v>
      </c>
      <c r="S386" s="1" t="str">
        <f>TEXT(digital_banking_transactions3[[#This Row],[Tanggal_Bersih]],"MMMM YYYY")</f>
        <v>July 2024</v>
      </c>
      <c r="T38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8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87" spans="1:21" x14ac:dyDescent="0.35">
      <c r="A387" s="1" t="s">
        <v>1616</v>
      </c>
      <c r="B387" s="1" t="s">
        <v>1617</v>
      </c>
      <c r="C387" s="1" t="s">
        <v>1618</v>
      </c>
      <c r="D387" s="1" t="s">
        <v>93</v>
      </c>
      <c r="E387" s="1" t="s">
        <v>17</v>
      </c>
      <c r="F387" s="1" t="s">
        <v>1619</v>
      </c>
      <c r="G387" s="1" t="s">
        <v>65</v>
      </c>
      <c r="H387" s="1" t="s">
        <v>106</v>
      </c>
      <c r="I387" s="1" t="s">
        <v>21</v>
      </c>
      <c r="J387" s="1" t="s">
        <v>21</v>
      </c>
      <c r="K387">
        <v>2500</v>
      </c>
      <c r="L387">
        <v>797</v>
      </c>
      <c r="M387">
        <v>0</v>
      </c>
      <c r="N38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8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87" s="5" t="s">
        <v>1619</v>
      </c>
      <c r="Q387" t="str">
        <f>IF(OR(digital_banking_transactions3[[#This Row],[Nominal_Bersih]]&lt;0,digital_banking_transactions3[[#This Row],[Nominal_Bersih]]=0),"Invalid","Valid")</f>
        <v>Valid</v>
      </c>
      <c r="R38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45557</v>
      </c>
      <c r="S387" s="1" t="str">
        <f>TEXT(digital_banking_transactions3[[#This Row],[Tanggal_Bersih]],"MMMM YYYY")</f>
        <v>September 2024</v>
      </c>
      <c r="T38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8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88" spans="1:21" x14ac:dyDescent="0.35">
      <c r="A388" s="1" t="s">
        <v>1620</v>
      </c>
      <c r="B388" s="1" t="s">
        <v>1621</v>
      </c>
      <c r="C388" s="1" t="s">
        <v>1622</v>
      </c>
      <c r="D388" s="1" t="s">
        <v>167</v>
      </c>
      <c r="E388" s="1" t="s">
        <v>94</v>
      </c>
      <c r="F388" s="1" t="s">
        <v>1623</v>
      </c>
      <c r="G388" s="1" t="s">
        <v>65</v>
      </c>
      <c r="H388" s="1" t="s">
        <v>42</v>
      </c>
      <c r="I388" s="1" t="s">
        <v>21</v>
      </c>
      <c r="J388" s="1" t="s">
        <v>21</v>
      </c>
      <c r="K388">
        <v>1500</v>
      </c>
      <c r="L388">
        <v>3943</v>
      </c>
      <c r="M388">
        <v>0</v>
      </c>
      <c r="N38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8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88" s="5" t="s">
        <v>1623</v>
      </c>
      <c r="Q388" t="str">
        <f>IF(OR(digital_banking_transactions3[[#This Row],[Nominal_Bersih]]&lt;0,digital_banking_transactions3[[#This Row],[Nominal_Bersih]]=0),"Invalid","Valid")</f>
        <v>Valid</v>
      </c>
      <c r="R38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45488</v>
      </c>
      <c r="S388" s="1" t="str">
        <f>TEXT(digital_banking_transactions3[[#This Row],[Tanggal_Bersih]],"MMMM YYYY")</f>
        <v>July 2024</v>
      </c>
      <c r="T38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8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89" spans="1:21" x14ac:dyDescent="0.35">
      <c r="A389" s="1" t="s">
        <v>1624</v>
      </c>
      <c r="B389" s="1" t="s">
        <v>1625</v>
      </c>
      <c r="C389" s="1" t="s">
        <v>1626</v>
      </c>
      <c r="D389" s="1" t="s">
        <v>135</v>
      </c>
      <c r="E389" s="1" t="s">
        <v>39</v>
      </c>
      <c r="F389" s="1">
        <v>4959443100</v>
      </c>
      <c r="G389" s="1" t="s">
        <v>27</v>
      </c>
      <c r="H389" s="1" t="s">
        <v>60</v>
      </c>
      <c r="I389" s="1" t="s">
        <v>21</v>
      </c>
      <c r="J389" s="1" t="s">
        <v>121</v>
      </c>
      <c r="K389">
        <v>7500</v>
      </c>
      <c r="L389">
        <v>276</v>
      </c>
      <c r="M389">
        <v>0</v>
      </c>
      <c r="N38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8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89" s="5">
        <v>4959443100</v>
      </c>
      <c r="Q389" t="str">
        <f>IF(OR(digital_banking_transactions3[[#This Row],[Nominal_Bersih]]&lt;0,digital_banking_transactions3[[#This Row],[Nominal_Bersih]]=0),"Invalid","Valid")</f>
        <v>Valid</v>
      </c>
      <c r="R38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45446</v>
      </c>
      <c r="S389" s="1" t="str">
        <f>TEXT(digital_banking_transactions3[[#This Row],[Tanggal_Bersih]],"MMMM YYYY")</f>
        <v>June 2024</v>
      </c>
      <c r="T38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8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90" spans="1:21" x14ac:dyDescent="0.35">
      <c r="A390" s="1" t="s">
        <v>1628</v>
      </c>
      <c r="B390" s="1" t="s">
        <v>1629</v>
      </c>
      <c r="C390" s="1" t="s">
        <v>1630</v>
      </c>
      <c r="D390" s="1" t="s">
        <v>25</v>
      </c>
      <c r="E390" s="1" t="s">
        <v>39</v>
      </c>
      <c r="F390" s="1" t="s">
        <v>1631</v>
      </c>
      <c r="G390" s="1" t="s">
        <v>485</v>
      </c>
      <c r="H390" s="1" t="s">
        <v>35</v>
      </c>
      <c r="I390" s="1" t="s">
        <v>21</v>
      </c>
      <c r="J390" s="1" t="s">
        <v>79</v>
      </c>
      <c r="K390">
        <v>7500</v>
      </c>
      <c r="L390">
        <v>4747</v>
      </c>
      <c r="M390">
        <v>0</v>
      </c>
      <c r="N39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9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90" s="5" t="s">
        <v>1631</v>
      </c>
      <c r="Q390" t="str">
        <f>IF(OR(digital_banking_transactions3[[#This Row],[Nominal_Bersih]]&lt;0,digital_banking_transactions3[[#This Row],[Nominal_Bersih]]=0),"Invalid","Valid")</f>
        <v>Valid</v>
      </c>
      <c r="R39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45325</v>
      </c>
      <c r="S390" s="1" t="str">
        <f>TEXT(digital_banking_transactions3[[#This Row],[Tanggal_Bersih]],"MMMM YYYY")</f>
        <v>February 2024</v>
      </c>
      <c r="T39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9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91" spans="1:21" x14ac:dyDescent="0.35">
      <c r="A391" s="1" t="s">
        <v>1632</v>
      </c>
      <c r="B391" s="1" t="s">
        <v>1633</v>
      </c>
      <c r="C391" s="1" t="s">
        <v>1634</v>
      </c>
      <c r="D391" s="1" t="s">
        <v>75</v>
      </c>
      <c r="E391" s="1" t="s">
        <v>32</v>
      </c>
      <c r="F391" s="4">
        <v>495153</v>
      </c>
      <c r="G391" s="1" t="s">
        <v>65</v>
      </c>
      <c r="H391" s="1" t="s">
        <v>20</v>
      </c>
      <c r="I391" s="1" t="s">
        <v>21</v>
      </c>
      <c r="J391" s="1" t="s">
        <v>79</v>
      </c>
      <c r="K391">
        <v>0</v>
      </c>
      <c r="L391">
        <v>1910</v>
      </c>
      <c r="M391">
        <v>0</v>
      </c>
      <c r="N39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9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91" s="5">
        <v>495153</v>
      </c>
      <c r="Q391" t="str">
        <f>IF(OR(digital_banking_transactions3[[#This Row],[Nominal_Bersih]]&lt;0,digital_banking_transactions3[[#This Row],[Nominal_Bersih]]=0),"Invalid","Valid")</f>
        <v>Valid</v>
      </c>
      <c r="R39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45406</v>
      </c>
      <c r="S391" s="1" t="str">
        <f>TEXT(digital_banking_transactions3[[#This Row],[Tanggal_Bersih]],"MMMM YYYY")</f>
        <v>April 2024</v>
      </c>
      <c r="T39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9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92" spans="1:21" x14ac:dyDescent="0.35">
      <c r="A392" s="1" t="s">
        <v>1636</v>
      </c>
      <c r="B392" s="1" t="s">
        <v>1637</v>
      </c>
      <c r="C392" s="1" t="s">
        <v>1638</v>
      </c>
      <c r="D392" s="1" t="s">
        <v>75</v>
      </c>
      <c r="E392" s="1" t="s">
        <v>32</v>
      </c>
      <c r="F392" s="1" t="s">
        <v>1639</v>
      </c>
      <c r="G392" s="1" t="s">
        <v>41</v>
      </c>
      <c r="H392" s="1" t="s">
        <v>106</v>
      </c>
      <c r="I392" s="1" t="s">
        <v>21</v>
      </c>
      <c r="J392" s="1" t="s">
        <v>21</v>
      </c>
      <c r="L392">
        <v>1280</v>
      </c>
      <c r="M392">
        <v>0</v>
      </c>
      <c r="N39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9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92" s="5" t="s">
        <v>1639</v>
      </c>
      <c r="Q392" t="str">
        <f>IF(OR(digital_banking_transactions3[[#This Row],[Nominal_Bersih]]&lt;0,digital_banking_transactions3[[#This Row],[Nominal_Bersih]]=0),"Invalid","Valid")</f>
        <v>Valid</v>
      </c>
      <c r="R39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45429</v>
      </c>
      <c r="S392" s="1" t="str">
        <f>TEXT(digital_banking_transactions3[[#This Row],[Tanggal_Bersih]],"MMMM YYYY")</f>
        <v>May 2024</v>
      </c>
      <c r="T39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9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93" spans="1:21" x14ac:dyDescent="0.35">
      <c r="A393" s="1" t="s">
        <v>1641</v>
      </c>
      <c r="B393" s="1" t="s">
        <v>1642</v>
      </c>
      <c r="C393" s="1" t="s">
        <v>1643</v>
      </c>
      <c r="D393" s="1" t="s">
        <v>75</v>
      </c>
      <c r="E393" s="1" t="s">
        <v>52</v>
      </c>
      <c r="F393" s="1" t="s">
        <v>1644</v>
      </c>
      <c r="G393" s="1" t="s">
        <v>65</v>
      </c>
      <c r="H393" s="1" t="s">
        <v>60</v>
      </c>
      <c r="I393" s="1" t="s">
        <v>66</v>
      </c>
      <c r="J393" s="1" t="s">
        <v>71</v>
      </c>
      <c r="K393">
        <v>6500</v>
      </c>
      <c r="L393">
        <v>3400</v>
      </c>
      <c r="M393">
        <v>0</v>
      </c>
      <c r="N39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9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93" s="5" t="s">
        <v>1644</v>
      </c>
      <c r="Q393" t="str">
        <f>IF(OR(digital_banking_transactions3[[#This Row],[Nominal_Bersih]]&lt;0,digital_banking_transactions3[[#This Row],[Nominal_Bersih]]=0),"Invalid","Valid")</f>
        <v>Valid</v>
      </c>
      <c r="R39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45475</v>
      </c>
      <c r="S393" s="1" t="str">
        <f>TEXT(digital_banking_transactions3[[#This Row],[Tanggal_Bersih]],"MMMM YYYY")</f>
        <v>July 2024</v>
      </c>
      <c r="T39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9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94" spans="1:21" x14ac:dyDescent="0.35">
      <c r="A394" s="1" t="s">
        <v>1645</v>
      </c>
      <c r="B394" s="1" t="s">
        <v>1646</v>
      </c>
      <c r="C394" s="1" t="s">
        <v>1647</v>
      </c>
      <c r="D394" s="1" t="s">
        <v>110</v>
      </c>
      <c r="E394" s="1" t="s">
        <v>32</v>
      </c>
      <c r="F394" s="1">
        <v>429147</v>
      </c>
      <c r="G394" s="1" t="s">
        <v>19</v>
      </c>
      <c r="H394" s="1" t="s">
        <v>106</v>
      </c>
      <c r="I394" s="1" t="s">
        <v>21</v>
      </c>
      <c r="J394" s="1" t="s">
        <v>21</v>
      </c>
      <c r="K394">
        <v>0</v>
      </c>
      <c r="L394">
        <v>360</v>
      </c>
      <c r="M394">
        <v>0</v>
      </c>
      <c r="N39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9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94" s="5">
        <v>429147</v>
      </c>
      <c r="Q394" t="str">
        <f>IF(OR(digital_banking_transactions3[[#This Row],[Nominal_Bersih]]&lt;0,digital_banking_transactions3[[#This Row],[Nominal_Bersih]]=0),"Invalid","Valid")</f>
        <v>Valid</v>
      </c>
      <c r="R39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45481</v>
      </c>
      <c r="S394" s="1" t="str">
        <f>TEXT(digital_banking_transactions3[[#This Row],[Tanggal_Bersih]],"MMMM YYYY")</f>
        <v>July 2024</v>
      </c>
      <c r="T39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39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95" spans="1:21" x14ac:dyDescent="0.35">
      <c r="A395" s="1" t="s">
        <v>1649</v>
      </c>
      <c r="B395" s="1" t="s">
        <v>1116</v>
      </c>
      <c r="C395" s="1" t="s">
        <v>1650</v>
      </c>
      <c r="D395" s="1" t="s">
        <v>58</v>
      </c>
      <c r="E395" s="1" t="s">
        <v>17</v>
      </c>
      <c r="F395" s="1" t="s">
        <v>1651</v>
      </c>
      <c r="G395" s="1" t="s">
        <v>41</v>
      </c>
      <c r="H395" s="1" t="s">
        <v>54</v>
      </c>
      <c r="I395" s="1" t="s">
        <v>21</v>
      </c>
      <c r="J395" s="1" t="s">
        <v>21</v>
      </c>
      <c r="K395">
        <v>2500</v>
      </c>
      <c r="L395">
        <v>4106</v>
      </c>
      <c r="M395">
        <v>0</v>
      </c>
      <c r="N39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39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395" s="5" t="s">
        <v>1651</v>
      </c>
      <c r="Q395" t="str">
        <f>IF(OR(digital_banking_transactions3[[#This Row],[Nominal_Bersih]]&lt;0,digital_banking_transactions3[[#This Row],[Nominal_Bersih]]=0),"Invalid","Valid")</f>
        <v>Valid</v>
      </c>
      <c r="R39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45363</v>
      </c>
      <c r="S395" s="1" t="str">
        <f>TEXT(digital_banking_transactions3[[#This Row],[Tanggal_Bersih]],"MMMM YYYY")</f>
        <v>March 2024</v>
      </c>
      <c r="T39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9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96" spans="1:21" x14ac:dyDescent="0.35">
      <c r="A396" s="1" t="s">
        <v>1652</v>
      </c>
      <c r="B396" s="1" t="s">
        <v>785</v>
      </c>
      <c r="C396" s="1" t="s">
        <v>1653</v>
      </c>
      <c r="D396" s="1" t="s">
        <v>16</v>
      </c>
      <c r="E396" s="1" t="s">
        <v>32</v>
      </c>
      <c r="F396" s="1">
        <v>311837</v>
      </c>
      <c r="G396" s="1" t="s">
        <v>65</v>
      </c>
      <c r="H396" s="1" t="s">
        <v>42</v>
      </c>
      <c r="I396" s="1" t="s">
        <v>21</v>
      </c>
      <c r="J396" s="1" t="s">
        <v>21</v>
      </c>
      <c r="K396">
        <v>0</v>
      </c>
      <c r="L396">
        <v>2984</v>
      </c>
      <c r="M396">
        <v>0</v>
      </c>
      <c r="N39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9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96" s="5">
        <v>311837</v>
      </c>
      <c r="Q396" t="str">
        <f>IF(OR(digital_banking_transactions3[[#This Row],[Nominal_Bersih]]&lt;0,digital_banking_transactions3[[#This Row],[Nominal_Bersih]]=0),"Invalid","Valid")</f>
        <v>Valid</v>
      </c>
      <c r="R39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45335</v>
      </c>
      <c r="S396" s="1" t="str">
        <f>TEXT(digital_banking_transactions3[[#This Row],[Tanggal_Bersih]],"MMMM YYYY")</f>
        <v>February 2024</v>
      </c>
      <c r="T39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39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97" spans="1:21" x14ac:dyDescent="0.35">
      <c r="A397" s="1" t="s">
        <v>1655</v>
      </c>
      <c r="B397" s="1" t="s">
        <v>1511</v>
      </c>
      <c r="C397" s="1" t="s">
        <v>1656</v>
      </c>
      <c r="D397" s="1" t="s">
        <v>93</v>
      </c>
      <c r="E397" s="1" t="s">
        <v>39</v>
      </c>
      <c r="F397" s="1">
        <v>3312004200</v>
      </c>
      <c r="G397" s="1" t="s">
        <v>65</v>
      </c>
      <c r="H397" s="1" t="s">
        <v>54</v>
      </c>
      <c r="I397" s="1" t="s">
        <v>21</v>
      </c>
      <c r="J397" s="1" t="s">
        <v>71</v>
      </c>
      <c r="K397">
        <v>7500</v>
      </c>
      <c r="L397">
        <v>4028</v>
      </c>
      <c r="M397">
        <v>0</v>
      </c>
      <c r="N39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9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397" s="5">
        <v>3312004200</v>
      </c>
      <c r="Q397" t="str">
        <f>IF(OR(digital_banking_transactions3[[#This Row],[Nominal_Bersih]]&lt;0,digital_banking_transactions3[[#This Row],[Nominal_Bersih]]=0),"Invalid","Valid")</f>
        <v>Valid</v>
      </c>
      <c r="R39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45591</v>
      </c>
      <c r="S397" s="1" t="str">
        <f>TEXT(digital_banking_transactions3[[#This Row],[Tanggal_Bersih]],"MMMM YYYY")</f>
        <v>October 2024</v>
      </c>
      <c r="T39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9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98" spans="1:21" x14ac:dyDescent="0.35">
      <c r="A398" s="1" t="s">
        <v>1658</v>
      </c>
      <c r="B398" s="1" t="s">
        <v>1659</v>
      </c>
      <c r="C398" s="1" t="s">
        <v>1660</v>
      </c>
      <c r="D398" s="1" t="s">
        <v>75</v>
      </c>
      <c r="E398" s="1" t="s">
        <v>39</v>
      </c>
      <c r="F398" s="1">
        <v>240619</v>
      </c>
      <c r="G398" s="1" t="s">
        <v>264</v>
      </c>
      <c r="H398" s="1" t="s">
        <v>106</v>
      </c>
      <c r="I398" s="1" t="s">
        <v>21</v>
      </c>
      <c r="J398" s="1" t="s">
        <v>71</v>
      </c>
      <c r="K398">
        <v>7500</v>
      </c>
      <c r="L398">
        <v>3641</v>
      </c>
      <c r="M398">
        <v>0</v>
      </c>
      <c r="N39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39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398" s="5">
        <v>240619</v>
      </c>
      <c r="Q398" t="str">
        <f>IF(OR(digital_banking_transactions3[[#This Row],[Nominal_Bersih]]&lt;0,digital_banking_transactions3[[#This Row],[Nominal_Bersih]]=0),"Invalid","Valid")</f>
        <v>Valid</v>
      </c>
      <c r="R39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45618</v>
      </c>
      <c r="S398" s="1" t="str">
        <f>TEXT(digital_banking_transactions3[[#This Row],[Tanggal_Bersih]],"MMMM YYYY")</f>
        <v>November 2024</v>
      </c>
      <c r="T39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39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399" spans="1:21" x14ac:dyDescent="0.35">
      <c r="A399" s="1" t="s">
        <v>1663</v>
      </c>
      <c r="B399" s="1" t="s">
        <v>1664</v>
      </c>
      <c r="C399" s="1" t="s">
        <v>1665</v>
      </c>
      <c r="D399" s="1" t="s">
        <v>110</v>
      </c>
      <c r="E399" s="1" t="s">
        <v>94</v>
      </c>
      <c r="F399" s="1" t="s">
        <v>1666</v>
      </c>
      <c r="G399" s="1" t="s">
        <v>19</v>
      </c>
      <c r="H399" s="1" t="s">
        <v>42</v>
      </c>
      <c r="I399" s="1" t="s">
        <v>21</v>
      </c>
      <c r="J399" s="1" t="s">
        <v>21</v>
      </c>
      <c r="K399">
        <v>1500</v>
      </c>
      <c r="L399">
        <v>3885</v>
      </c>
      <c r="M399">
        <v>0</v>
      </c>
      <c r="N39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39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399" s="5" t="s">
        <v>1666</v>
      </c>
      <c r="Q399" t="str">
        <f>IF(OR(digital_banking_transactions3[[#This Row],[Nominal_Bersih]]&lt;0,digital_banking_transactions3[[#This Row],[Nominal_Bersih]]=0),"Invalid","Valid")</f>
        <v>Valid</v>
      </c>
      <c r="R39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45472</v>
      </c>
      <c r="S399" s="1" t="str">
        <f>TEXT(digital_banking_transactions3[[#This Row],[Tanggal_Bersih]],"MMMM YYYY")</f>
        <v>June 2024</v>
      </c>
      <c r="T39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39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00" spans="1:21" x14ac:dyDescent="0.35">
      <c r="A400" s="1" t="s">
        <v>1667</v>
      </c>
      <c r="B400" s="1" t="s">
        <v>1668</v>
      </c>
      <c r="C400" s="1" t="s">
        <v>1669</v>
      </c>
      <c r="D400" s="1" t="s">
        <v>254</v>
      </c>
      <c r="E400" s="1" t="s">
        <v>17</v>
      </c>
      <c r="F400" s="1" t="s">
        <v>1670</v>
      </c>
      <c r="G400" s="1" t="s">
        <v>126</v>
      </c>
      <c r="H400" s="1" t="s">
        <v>42</v>
      </c>
      <c r="I400" s="1" t="s">
        <v>21</v>
      </c>
      <c r="J400" s="1" t="s">
        <v>121</v>
      </c>
      <c r="K400">
        <v>2500</v>
      </c>
      <c r="L400">
        <v>1466</v>
      </c>
      <c r="M400">
        <v>0</v>
      </c>
      <c r="N40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0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00" s="5" t="s">
        <v>1670</v>
      </c>
      <c r="Q400" t="str">
        <f>IF(OR(digital_banking_transactions3[[#This Row],[Nominal_Bersih]]&lt;0,digital_banking_transactions3[[#This Row],[Nominal_Bersih]]=0),"Invalid","Valid")</f>
        <v>Valid</v>
      </c>
      <c r="R40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45518</v>
      </c>
      <c r="S400" s="1" t="str">
        <f>TEXT(digital_banking_transactions3[[#This Row],[Tanggal_Bersih]],"MMMM YYYY")</f>
        <v>August 2024</v>
      </c>
      <c r="T40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0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01" spans="1:21" x14ac:dyDescent="0.35">
      <c r="A401" s="1" t="s">
        <v>1671</v>
      </c>
      <c r="B401" s="1" t="s">
        <v>1672</v>
      </c>
      <c r="C401" s="1" t="s">
        <v>1673</v>
      </c>
      <c r="D401" s="1" t="s">
        <v>75</v>
      </c>
      <c r="E401" s="1" t="s">
        <v>39</v>
      </c>
      <c r="F401" s="1" t="s">
        <v>1674</v>
      </c>
      <c r="G401" s="1" t="s">
        <v>195</v>
      </c>
      <c r="H401" s="1" t="s">
        <v>96</v>
      </c>
      <c r="I401" s="1" t="s">
        <v>21</v>
      </c>
      <c r="J401" s="1" t="s">
        <v>121</v>
      </c>
      <c r="K401">
        <v>7500</v>
      </c>
      <c r="L401">
        <v>1468</v>
      </c>
      <c r="M401">
        <v>0</v>
      </c>
      <c r="N40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0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01" s="5" t="s">
        <v>1674</v>
      </c>
      <c r="Q401" t="str">
        <f>IF(OR(digital_banking_transactions3[[#This Row],[Nominal_Bersih]]&lt;0,digital_banking_transactions3[[#This Row],[Nominal_Bersih]]=0),"Invalid","Valid")</f>
        <v>Valid</v>
      </c>
      <c r="R40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45593</v>
      </c>
      <c r="S401" s="1" t="str">
        <f>TEXT(digital_banking_transactions3[[#This Row],[Tanggal_Bersih]],"MMMM YYYY")</f>
        <v>October 2024</v>
      </c>
      <c r="T40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0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02" spans="1:21" x14ac:dyDescent="0.35">
      <c r="A402" s="1" t="s">
        <v>1675</v>
      </c>
      <c r="B402" s="1" t="s">
        <v>1676</v>
      </c>
      <c r="C402" s="1" t="s">
        <v>1677</v>
      </c>
      <c r="D402" s="1" t="s">
        <v>110</v>
      </c>
      <c r="E402" s="1" t="s">
        <v>17</v>
      </c>
      <c r="F402" s="1" t="s">
        <v>1678</v>
      </c>
      <c r="G402" s="1" t="s">
        <v>126</v>
      </c>
      <c r="H402" s="1" t="s">
        <v>35</v>
      </c>
      <c r="I402" s="1" t="s">
        <v>21</v>
      </c>
      <c r="J402" s="1" t="s">
        <v>21</v>
      </c>
      <c r="K402">
        <v>2500</v>
      </c>
      <c r="L402">
        <v>332</v>
      </c>
      <c r="M402">
        <v>0</v>
      </c>
      <c r="N40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0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02" s="5" t="s">
        <v>1678</v>
      </c>
      <c r="Q402" t="str">
        <f>IF(OR(digital_banking_transactions3[[#This Row],[Nominal_Bersih]]&lt;0,digital_banking_transactions3[[#This Row],[Nominal_Bersih]]=0),"Invalid","Valid")</f>
        <v>Valid</v>
      </c>
      <c r="R40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45424</v>
      </c>
      <c r="S402" s="1" t="str">
        <f>TEXT(digital_banking_transactions3[[#This Row],[Tanggal_Bersih]],"MMMM YYYY")</f>
        <v>May 2024</v>
      </c>
      <c r="T40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0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03" spans="1:21" x14ac:dyDescent="0.35">
      <c r="A403" s="1" t="s">
        <v>1679</v>
      </c>
      <c r="B403" s="1" t="s">
        <v>1680</v>
      </c>
      <c r="C403" s="1" t="s">
        <v>1681</v>
      </c>
      <c r="D403" s="1" t="s">
        <v>58</v>
      </c>
      <c r="E403" s="1" t="s">
        <v>94</v>
      </c>
      <c r="F403" s="1">
        <v>827866</v>
      </c>
      <c r="G403" s="1" t="s">
        <v>41</v>
      </c>
      <c r="H403" s="1" t="s">
        <v>106</v>
      </c>
      <c r="I403" s="1" t="s">
        <v>21</v>
      </c>
      <c r="J403" s="1" t="s">
        <v>21</v>
      </c>
      <c r="K403">
        <v>1500</v>
      </c>
      <c r="L403">
        <v>3950</v>
      </c>
      <c r="M403">
        <v>0</v>
      </c>
      <c r="N40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0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03" s="5">
        <v>827866</v>
      </c>
      <c r="Q403" t="str">
        <f>IF(OR(digital_banking_transactions3[[#This Row],[Nominal_Bersih]]&lt;0,digital_banking_transactions3[[#This Row],[Nominal_Bersih]]=0),"Invalid","Valid")</f>
        <v>Valid</v>
      </c>
      <c r="R40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45324</v>
      </c>
      <c r="S403" s="1" t="str">
        <f>TEXT(digital_banking_transactions3[[#This Row],[Tanggal_Bersih]],"MMMM YYYY")</f>
        <v>February 2024</v>
      </c>
      <c r="T40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0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04" spans="1:21" x14ac:dyDescent="0.35">
      <c r="A404" s="1" t="s">
        <v>1683</v>
      </c>
      <c r="B404" s="1" t="s">
        <v>1684</v>
      </c>
      <c r="C404" s="1" t="s">
        <v>1685</v>
      </c>
      <c r="D404" s="1" t="s">
        <v>75</v>
      </c>
      <c r="E404" s="1" t="s">
        <v>52</v>
      </c>
      <c r="F404" s="1" t="s">
        <v>1686</v>
      </c>
      <c r="G404" s="1" t="s">
        <v>485</v>
      </c>
      <c r="H404" s="1" t="s">
        <v>60</v>
      </c>
      <c r="I404" s="1" t="s">
        <v>66</v>
      </c>
      <c r="J404" s="1" t="s">
        <v>121</v>
      </c>
      <c r="K404">
        <v>6500</v>
      </c>
      <c r="L404">
        <v>4486</v>
      </c>
      <c r="M404">
        <v>0</v>
      </c>
      <c r="N40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0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04" s="5" t="s">
        <v>1686</v>
      </c>
      <c r="Q404" t="str">
        <f>IF(OR(digital_banking_transactions3[[#This Row],[Nominal_Bersih]]&lt;0,digital_banking_transactions3[[#This Row],[Nominal_Bersih]]=0),"Invalid","Valid")</f>
        <v>Valid</v>
      </c>
      <c r="R40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45500</v>
      </c>
      <c r="S404" s="1" t="str">
        <f>TEXT(digital_banking_transactions3[[#This Row],[Tanggal_Bersih]],"MMMM YYYY")</f>
        <v>July 2024</v>
      </c>
      <c r="T40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0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05" spans="1:21" x14ac:dyDescent="0.35">
      <c r="A405" s="1" t="s">
        <v>1687</v>
      </c>
      <c r="B405" s="1" t="s">
        <v>1688</v>
      </c>
      <c r="C405" s="1" t="s">
        <v>1689</v>
      </c>
      <c r="D405" s="1" t="s">
        <v>25</v>
      </c>
      <c r="E405" s="1" t="s">
        <v>32</v>
      </c>
      <c r="F405" s="1" t="s">
        <v>1690</v>
      </c>
      <c r="G405" s="1" t="s">
        <v>65</v>
      </c>
      <c r="H405" s="1" t="s">
        <v>106</v>
      </c>
      <c r="I405" s="1" t="s">
        <v>21</v>
      </c>
      <c r="J405" s="1" t="s">
        <v>21</v>
      </c>
      <c r="K405">
        <v>0</v>
      </c>
      <c r="L405">
        <v>1143</v>
      </c>
      <c r="M405">
        <v>0</v>
      </c>
      <c r="N40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0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05" s="5" t="s">
        <v>1690</v>
      </c>
      <c r="Q405" t="str">
        <f>IF(OR(digital_banking_transactions3[[#This Row],[Nominal_Bersih]]&lt;0,digital_banking_transactions3[[#This Row],[Nominal_Bersih]]=0),"Invalid","Valid")</f>
        <v>Valid</v>
      </c>
      <c r="R40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45341</v>
      </c>
      <c r="S405" s="1" t="str">
        <f>TEXT(digital_banking_transactions3[[#This Row],[Tanggal_Bersih]],"MMMM YYYY")</f>
        <v>February 2024</v>
      </c>
      <c r="T40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0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06" spans="1:21" x14ac:dyDescent="0.35">
      <c r="A406" s="1" t="s">
        <v>1691</v>
      </c>
      <c r="B406" s="1" t="s">
        <v>1692</v>
      </c>
      <c r="C406" s="1" t="s">
        <v>1693</v>
      </c>
      <c r="D406" s="1" t="s">
        <v>150</v>
      </c>
      <c r="E406" s="1" t="s">
        <v>17</v>
      </c>
      <c r="F406" s="4">
        <v>189166</v>
      </c>
      <c r="G406" s="1" t="s">
        <v>41</v>
      </c>
      <c r="H406" s="1" t="s">
        <v>20</v>
      </c>
      <c r="I406" s="1" t="s">
        <v>21</v>
      </c>
      <c r="J406" s="1" t="s">
        <v>79</v>
      </c>
      <c r="K406">
        <v>2500</v>
      </c>
      <c r="L406">
        <v>1681</v>
      </c>
      <c r="M406">
        <v>0</v>
      </c>
      <c r="N40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0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06" s="5">
        <v>189166</v>
      </c>
      <c r="Q406" t="str">
        <f>IF(OR(digital_banking_transactions3[[#This Row],[Nominal_Bersih]]&lt;0,digital_banking_transactions3[[#This Row],[Nominal_Bersih]]=0),"Invalid","Valid")</f>
        <v>Valid</v>
      </c>
      <c r="R40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45635</v>
      </c>
      <c r="S406" s="1" t="str">
        <f>TEXT(digital_banking_transactions3[[#This Row],[Tanggal_Bersih]],"MMMM YYYY")</f>
        <v>December 2024</v>
      </c>
      <c r="T40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0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07" spans="1:21" x14ac:dyDescent="0.35">
      <c r="A407" s="1" t="s">
        <v>1695</v>
      </c>
      <c r="B407" s="1" t="s">
        <v>1696</v>
      </c>
      <c r="C407" s="1" t="s">
        <v>1697</v>
      </c>
      <c r="D407" s="1" t="s">
        <v>135</v>
      </c>
      <c r="E407" s="1" t="s">
        <v>52</v>
      </c>
      <c r="F407" s="1">
        <v>2319973</v>
      </c>
      <c r="G407" s="1" t="s">
        <v>381</v>
      </c>
      <c r="H407" s="1" t="s">
        <v>35</v>
      </c>
      <c r="I407" s="1" t="s">
        <v>291</v>
      </c>
      <c r="J407" s="1" t="s">
        <v>79</v>
      </c>
      <c r="K407">
        <v>6500</v>
      </c>
      <c r="L407">
        <v>1781</v>
      </c>
      <c r="M407">
        <v>0</v>
      </c>
      <c r="N40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0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07" s="5">
        <v>2319973</v>
      </c>
      <c r="Q407" t="str">
        <f>IF(OR(digital_banking_transactions3[[#This Row],[Nominal_Bersih]]&lt;0,digital_banking_transactions3[[#This Row],[Nominal_Bersih]]=0),"Invalid","Valid")</f>
        <v>Valid</v>
      </c>
      <c r="R40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45303</v>
      </c>
      <c r="S407" s="1" t="str">
        <f>TEXT(digital_banking_transactions3[[#This Row],[Tanggal_Bersih]],"MMMM YYYY")</f>
        <v>January 2024</v>
      </c>
      <c r="T40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0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08" spans="1:21" x14ac:dyDescent="0.35">
      <c r="A408" s="1" t="s">
        <v>1699</v>
      </c>
      <c r="B408" s="1" t="s">
        <v>1700</v>
      </c>
      <c r="C408" s="1" t="s">
        <v>1701</v>
      </c>
      <c r="D408" s="1" t="s">
        <v>546</v>
      </c>
      <c r="E408" s="1" t="s">
        <v>94</v>
      </c>
      <c r="F408" s="1" t="s">
        <v>1702</v>
      </c>
      <c r="G408" s="1" t="s">
        <v>65</v>
      </c>
      <c r="H408" s="1" t="s">
        <v>42</v>
      </c>
      <c r="I408" s="1" t="s">
        <v>21</v>
      </c>
      <c r="J408" s="1" t="s">
        <v>121</v>
      </c>
      <c r="K408">
        <v>1500</v>
      </c>
      <c r="L408">
        <v>1274</v>
      </c>
      <c r="M408">
        <v>0</v>
      </c>
      <c r="N40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0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08" s="5" t="s">
        <v>1702</v>
      </c>
      <c r="Q408" t="str">
        <f>IF(OR(digital_banking_transactions3[[#This Row],[Nominal_Bersih]]&lt;0,digital_banking_transactions3[[#This Row],[Nominal_Bersih]]=0),"Invalid","Valid")</f>
        <v>Valid</v>
      </c>
      <c r="R40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45593</v>
      </c>
      <c r="S408" s="1" t="str">
        <f>TEXT(digital_banking_transactions3[[#This Row],[Tanggal_Bersih]],"MMMM YYYY")</f>
        <v>October 2024</v>
      </c>
      <c r="T40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0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09" spans="1:21" x14ac:dyDescent="0.35">
      <c r="A409" s="1" t="s">
        <v>1703</v>
      </c>
      <c r="B409" s="1" t="s">
        <v>1704</v>
      </c>
      <c r="C409" s="1" t="s">
        <v>1705</v>
      </c>
      <c r="D409" s="1" t="s">
        <v>150</v>
      </c>
      <c r="E409" s="1" t="s">
        <v>52</v>
      </c>
      <c r="F409" s="1">
        <v>46545398</v>
      </c>
      <c r="G409" s="1" t="s">
        <v>34</v>
      </c>
      <c r="H409" s="1" t="s">
        <v>20</v>
      </c>
      <c r="I409" s="1" t="s">
        <v>138</v>
      </c>
      <c r="J409" s="1" t="s">
        <v>121</v>
      </c>
      <c r="K409">
        <v>6500</v>
      </c>
      <c r="L409">
        <v>2736</v>
      </c>
      <c r="M409">
        <v>0</v>
      </c>
      <c r="N40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0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09" s="5">
        <v>46545398</v>
      </c>
      <c r="Q409" t="str">
        <f>IF(OR(digital_banking_transactions3[[#This Row],[Nominal_Bersih]]&lt;0,digital_banking_transactions3[[#This Row],[Nominal_Bersih]]=0),"Invalid","Valid")</f>
        <v>Valid</v>
      </c>
      <c r="R40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45388</v>
      </c>
      <c r="S409" s="1" t="str">
        <f>TEXT(digital_banking_transactions3[[#This Row],[Tanggal_Bersih]],"MMMM YYYY")</f>
        <v>April 2024</v>
      </c>
      <c r="T40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0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10" spans="1:21" x14ac:dyDescent="0.35">
      <c r="A410" s="1" t="s">
        <v>1707</v>
      </c>
      <c r="B410" s="1" t="s">
        <v>1708</v>
      </c>
      <c r="C410" s="1" t="s">
        <v>1709</v>
      </c>
      <c r="D410" s="1" t="s">
        <v>110</v>
      </c>
      <c r="E410" s="1" t="s">
        <v>94</v>
      </c>
      <c r="F410" s="1" t="s">
        <v>1710</v>
      </c>
      <c r="G410" s="1" t="s">
        <v>65</v>
      </c>
      <c r="H410" s="1" t="s">
        <v>106</v>
      </c>
      <c r="I410" s="1" t="s">
        <v>21</v>
      </c>
      <c r="J410" s="1" t="s">
        <v>21</v>
      </c>
      <c r="K410">
        <v>1500</v>
      </c>
      <c r="L410">
        <v>3509</v>
      </c>
      <c r="M410">
        <v>0</v>
      </c>
      <c r="N41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1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10" s="5" t="s">
        <v>1710</v>
      </c>
      <c r="Q410" t="str">
        <f>IF(OR(digital_banking_transactions3[[#This Row],[Nominal_Bersih]]&lt;0,digital_banking_transactions3[[#This Row],[Nominal_Bersih]]=0),"Invalid","Valid")</f>
        <v>Valid</v>
      </c>
      <c r="R41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45606</v>
      </c>
      <c r="S410" s="1" t="str">
        <f>TEXT(digital_banking_transactions3[[#This Row],[Tanggal_Bersih]],"MMMM YYYY")</f>
        <v>November 2024</v>
      </c>
      <c r="T41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1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11" spans="1:21" x14ac:dyDescent="0.35">
      <c r="A411" s="1" t="s">
        <v>1711</v>
      </c>
      <c r="B411" s="1" t="s">
        <v>1712</v>
      </c>
      <c r="C411" s="1" t="s">
        <v>1713</v>
      </c>
      <c r="D411" s="1" t="s">
        <v>75</v>
      </c>
      <c r="E411" s="1" t="s">
        <v>17</v>
      </c>
      <c r="F411" s="1" t="s">
        <v>1714</v>
      </c>
      <c r="G411" s="1" t="s">
        <v>65</v>
      </c>
      <c r="H411" s="1" t="s">
        <v>20</v>
      </c>
      <c r="I411" s="1" t="s">
        <v>21</v>
      </c>
      <c r="J411" s="1" t="s">
        <v>226</v>
      </c>
      <c r="K411">
        <v>2500</v>
      </c>
      <c r="L411">
        <v>598</v>
      </c>
      <c r="M411">
        <v>0</v>
      </c>
      <c r="N41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1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11" s="5" t="s">
        <v>1714</v>
      </c>
      <c r="Q411" t="str">
        <f>IF(OR(digital_banking_transactions3[[#This Row],[Nominal_Bersih]]&lt;0,digital_banking_transactions3[[#This Row],[Nominal_Bersih]]=0),"Invalid","Valid")</f>
        <v>Valid</v>
      </c>
      <c r="R41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45529</v>
      </c>
      <c r="S411" s="1" t="str">
        <f>TEXT(digital_banking_transactions3[[#This Row],[Tanggal_Bersih]],"MMMM YYYY")</f>
        <v>August 2024</v>
      </c>
      <c r="T41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1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12" spans="1:21" x14ac:dyDescent="0.35">
      <c r="A412" s="1" t="s">
        <v>1715</v>
      </c>
      <c r="B412" s="1" t="s">
        <v>1716</v>
      </c>
      <c r="C412" s="1" t="s">
        <v>1717</v>
      </c>
      <c r="D412" s="1" t="s">
        <v>75</v>
      </c>
      <c r="E412" s="1" t="s">
        <v>52</v>
      </c>
      <c r="F412" s="1" t="s">
        <v>1718</v>
      </c>
      <c r="G412" s="1" t="s">
        <v>126</v>
      </c>
      <c r="H412" s="1" t="s">
        <v>20</v>
      </c>
      <c r="I412" s="1" t="s">
        <v>291</v>
      </c>
      <c r="J412" s="1" t="s">
        <v>21</v>
      </c>
      <c r="K412">
        <v>6500</v>
      </c>
      <c r="L412">
        <v>3065</v>
      </c>
      <c r="M412">
        <v>0</v>
      </c>
      <c r="N41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1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12" s="5" t="s">
        <v>1718</v>
      </c>
      <c r="Q412" t="str">
        <f>IF(OR(digital_banking_transactions3[[#This Row],[Nominal_Bersih]]&lt;0,digital_banking_transactions3[[#This Row],[Nominal_Bersih]]=0),"Invalid","Valid")</f>
        <v>Valid</v>
      </c>
      <c r="R41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45380</v>
      </c>
      <c r="S412" s="1" t="str">
        <f>TEXT(digital_banking_transactions3[[#This Row],[Tanggal_Bersih]],"MMMM YYYY")</f>
        <v>March 2024</v>
      </c>
      <c r="T41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1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13" spans="1:21" x14ac:dyDescent="0.35">
      <c r="A413" s="1" t="s">
        <v>1719</v>
      </c>
      <c r="B413" s="1" t="s">
        <v>1720</v>
      </c>
      <c r="C413" s="1" t="s">
        <v>1721</v>
      </c>
      <c r="D413" s="1" t="s">
        <v>167</v>
      </c>
      <c r="E413" s="1" t="s">
        <v>52</v>
      </c>
      <c r="F413" s="1" t="s">
        <v>1722</v>
      </c>
      <c r="G413" s="1" t="s">
        <v>41</v>
      </c>
      <c r="H413" s="1" t="s">
        <v>35</v>
      </c>
      <c r="I413" s="1" t="s">
        <v>131</v>
      </c>
      <c r="J413" s="1" t="s">
        <v>21</v>
      </c>
      <c r="K413">
        <v>6500</v>
      </c>
      <c r="L413">
        <v>1918</v>
      </c>
      <c r="M413">
        <v>1</v>
      </c>
      <c r="N41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1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13" s="5" t="s">
        <v>1722</v>
      </c>
      <c r="Q413" t="str">
        <f>IF(OR(digital_banking_transactions3[[#This Row],[Nominal_Bersih]]&lt;0,digital_banking_transactions3[[#This Row],[Nominal_Bersih]]=0),"Invalid","Valid")</f>
        <v>Valid</v>
      </c>
      <c r="R41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45450</v>
      </c>
      <c r="S413" s="1" t="str">
        <f>TEXT(digital_banking_transactions3[[#This Row],[Tanggal_Bersih]],"MMMM YYYY")</f>
        <v>June 2024</v>
      </c>
      <c r="T41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1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14" spans="1:21" x14ac:dyDescent="0.35">
      <c r="A414" s="1" t="s">
        <v>1723</v>
      </c>
      <c r="B414" s="1" t="s">
        <v>1724</v>
      </c>
      <c r="C414" s="1" t="s">
        <v>1725</v>
      </c>
      <c r="D414" s="1" t="s">
        <v>135</v>
      </c>
      <c r="E414" s="1" t="s">
        <v>94</v>
      </c>
      <c r="F414" s="1" t="s">
        <v>1726</v>
      </c>
      <c r="G414" s="1" t="s">
        <v>89</v>
      </c>
      <c r="H414" s="1" t="s">
        <v>42</v>
      </c>
      <c r="I414" s="1" t="s">
        <v>21</v>
      </c>
      <c r="J414" s="1" t="s">
        <v>71</v>
      </c>
      <c r="K414">
        <v>1500</v>
      </c>
      <c r="L414">
        <v>442</v>
      </c>
      <c r="M414">
        <v>0</v>
      </c>
      <c r="N41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1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14" s="5" t="s">
        <v>1726</v>
      </c>
      <c r="Q414" t="str">
        <f>IF(OR(digital_banking_transactions3[[#This Row],[Nominal_Bersih]]&lt;0,digital_banking_transactions3[[#This Row],[Nominal_Bersih]]=0),"Invalid","Valid")</f>
        <v>Valid</v>
      </c>
      <c r="R41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45541</v>
      </c>
      <c r="S414" s="1" t="str">
        <f>TEXT(digital_banking_transactions3[[#This Row],[Tanggal_Bersih]],"MMMM YYYY")</f>
        <v>September 2024</v>
      </c>
      <c r="T41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1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15" spans="1:21" x14ac:dyDescent="0.35">
      <c r="A415" s="1" t="s">
        <v>1727</v>
      </c>
      <c r="B415" s="1" t="s">
        <v>1728</v>
      </c>
      <c r="C415" s="1" t="s">
        <v>1729</v>
      </c>
      <c r="D415" s="1" t="s">
        <v>25</v>
      </c>
      <c r="E415" s="1" t="s">
        <v>17</v>
      </c>
      <c r="F415" s="1">
        <v>23230600</v>
      </c>
      <c r="G415" s="1" t="s">
        <v>48</v>
      </c>
      <c r="H415" s="1" t="s">
        <v>77</v>
      </c>
      <c r="I415" s="1" t="s">
        <v>21</v>
      </c>
      <c r="J415" s="1" t="s">
        <v>79</v>
      </c>
      <c r="K415">
        <v>2500</v>
      </c>
      <c r="L415">
        <v>3750</v>
      </c>
      <c r="M415">
        <v>0</v>
      </c>
      <c r="N41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1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15" s="5">
        <v>23230600</v>
      </c>
      <c r="Q415" t="str">
        <f>IF(OR(digital_banking_transactions3[[#This Row],[Nominal_Bersih]]&lt;0,digital_banking_transactions3[[#This Row],[Nominal_Bersih]]=0),"Invalid","Valid")</f>
        <v>Valid</v>
      </c>
      <c r="R41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45332</v>
      </c>
      <c r="S415" s="1" t="str">
        <f>TEXT(digital_banking_transactions3[[#This Row],[Tanggal_Bersih]],"MMMM YYYY")</f>
        <v>February 2024</v>
      </c>
      <c r="T41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1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16" spans="1:21" x14ac:dyDescent="0.35">
      <c r="A416" s="1" t="s">
        <v>1731</v>
      </c>
      <c r="B416" s="1" t="s">
        <v>1732</v>
      </c>
      <c r="C416" s="1" t="s">
        <v>1733</v>
      </c>
      <c r="D416" s="1" t="s">
        <v>284</v>
      </c>
      <c r="E416" s="1" t="s">
        <v>17</v>
      </c>
      <c r="F416" s="1" t="s">
        <v>1734</v>
      </c>
      <c r="G416" s="1" t="s">
        <v>195</v>
      </c>
      <c r="H416" s="1" t="s">
        <v>54</v>
      </c>
      <c r="I416" s="1" t="s">
        <v>21</v>
      </c>
      <c r="J416" s="1" t="s">
        <v>208</v>
      </c>
      <c r="K416">
        <v>2500</v>
      </c>
      <c r="L416">
        <v>2507</v>
      </c>
      <c r="M416">
        <v>0</v>
      </c>
      <c r="N41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1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16" s="5" t="s">
        <v>1734</v>
      </c>
      <c r="Q416" t="str">
        <f>IF(OR(digital_banking_transactions3[[#This Row],[Nominal_Bersih]]&lt;0,digital_banking_transactions3[[#This Row],[Nominal_Bersih]]=0),"Invalid","Valid")</f>
        <v>Valid</v>
      </c>
      <c r="R41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45358</v>
      </c>
      <c r="S416" s="1" t="str">
        <f>TEXT(digital_banking_transactions3[[#This Row],[Tanggal_Bersih]],"MMMM YYYY")</f>
        <v>March 2024</v>
      </c>
      <c r="T41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1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17" spans="1:21" x14ac:dyDescent="0.35">
      <c r="A417" s="1" t="s">
        <v>1735</v>
      </c>
      <c r="B417" s="1" t="s">
        <v>1736</v>
      </c>
      <c r="C417" s="1" t="s">
        <v>1737</v>
      </c>
      <c r="D417" s="1" t="s">
        <v>58</v>
      </c>
      <c r="E417" s="1" t="s">
        <v>94</v>
      </c>
      <c r="F417" s="1">
        <v>188750800</v>
      </c>
      <c r="G417" s="1" t="s">
        <v>65</v>
      </c>
      <c r="H417" s="1" t="s">
        <v>54</v>
      </c>
      <c r="I417" s="1" t="s">
        <v>21</v>
      </c>
      <c r="J417" s="1" t="s">
        <v>21</v>
      </c>
      <c r="K417">
        <v>1500</v>
      </c>
      <c r="L417">
        <v>921</v>
      </c>
      <c r="M417">
        <v>0</v>
      </c>
      <c r="N41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1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17" s="5">
        <v>188750800</v>
      </c>
      <c r="Q417" t="str">
        <f>IF(OR(digital_banking_transactions3[[#This Row],[Nominal_Bersih]]&lt;0,digital_banking_transactions3[[#This Row],[Nominal_Bersih]]=0),"Invalid","Valid")</f>
        <v>Valid</v>
      </c>
      <c r="R41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45319</v>
      </c>
      <c r="S417" s="1" t="str">
        <f>TEXT(digital_banking_transactions3[[#This Row],[Tanggal_Bersih]],"MMMM YYYY")</f>
        <v>January 2024</v>
      </c>
      <c r="T41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1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18" spans="1:21" x14ac:dyDescent="0.35">
      <c r="A418" s="1" t="s">
        <v>1739</v>
      </c>
      <c r="B418" s="1" t="s">
        <v>1157</v>
      </c>
      <c r="C418" s="1" t="s">
        <v>1740</v>
      </c>
      <c r="D418" s="1" t="s">
        <v>110</v>
      </c>
      <c r="E418" s="1" t="s">
        <v>39</v>
      </c>
      <c r="F418" s="1">
        <v>337553</v>
      </c>
      <c r="G418" s="1" t="s">
        <v>41</v>
      </c>
      <c r="H418" s="1" t="s">
        <v>60</v>
      </c>
      <c r="I418" s="1" t="s">
        <v>21</v>
      </c>
      <c r="J418" s="1" t="s">
        <v>21</v>
      </c>
      <c r="K418">
        <v>7500</v>
      </c>
      <c r="L418">
        <v>1400</v>
      </c>
      <c r="M418">
        <v>0</v>
      </c>
      <c r="N41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1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18" s="5">
        <v>337553</v>
      </c>
      <c r="Q418" t="str">
        <f>IF(OR(digital_banking_transactions3[[#This Row],[Nominal_Bersih]]&lt;0,digital_banking_transactions3[[#This Row],[Nominal_Bersih]]=0),"Invalid","Valid")</f>
        <v>Valid</v>
      </c>
      <c r="R41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45563</v>
      </c>
      <c r="S418" s="1" t="str">
        <f>TEXT(digital_banking_transactions3[[#This Row],[Tanggal_Bersih]],"MMMM YYYY")</f>
        <v>September 2024</v>
      </c>
      <c r="T41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1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19" spans="1:21" x14ac:dyDescent="0.35">
      <c r="A419" s="1" t="s">
        <v>1742</v>
      </c>
      <c r="B419" s="1" t="s">
        <v>1743</v>
      </c>
      <c r="C419" s="1" t="s">
        <v>1744</v>
      </c>
      <c r="D419" s="1" t="s">
        <v>75</v>
      </c>
      <c r="E419" s="1" t="s">
        <v>32</v>
      </c>
      <c r="F419" s="1" t="s">
        <v>1745</v>
      </c>
      <c r="G419" s="1" t="s">
        <v>19</v>
      </c>
      <c r="H419" s="1" t="s">
        <v>60</v>
      </c>
      <c r="I419" s="1" t="s">
        <v>21</v>
      </c>
      <c r="J419" s="1" t="s">
        <v>21</v>
      </c>
      <c r="K419">
        <v>0</v>
      </c>
      <c r="L419">
        <v>3349</v>
      </c>
      <c r="M419">
        <v>1</v>
      </c>
      <c r="N41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1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19" s="5" t="s">
        <v>1745</v>
      </c>
      <c r="Q419" t="str">
        <f>IF(OR(digital_banking_transactions3[[#This Row],[Nominal_Bersih]]&lt;0,digital_banking_transactions3[[#This Row],[Nominal_Bersih]]=0),"Invalid","Valid")</f>
        <v>Valid</v>
      </c>
      <c r="R41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45540</v>
      </c>
      <c r="S419" s="1" t="str">
        <f>TEXT(digital_banking_transactions3[[#This Row],[Tanggal_Bersih]],"MMMM YYYY")</f>
        <v>September 2024</v>
      </c>
      <c r="T41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1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20" spans="1:21" x14ac:dyDescent="0.35">
      <c r="A420" s="1" t="s">
        <v>1746</v>
      </c>
      <c r="B420" s="1" t="s">
        <v>1747</v>
      </c>
      <c r="C420" s="1" t="s">
        <v>1748</v>
      </c>
      <c r="D420" s="1" t="s">
        <v>110</v>
      </c>
      <c r="E420" s="1" t="s">
        <v>94</v>
      </c>
      <c r="F420" s="1" t="s">
        <v>1749</v>
      </c>
      <c r="G420" s="1" t="s">
        <v>65</v>
      </c>
      <c r="H420" s="1" t="s">
        <v>20</v>
      </c>
      <c r="I420" s="1" t="s">
        <v>21</v>
      </c>
      <c r="J420" s="1" t="s">
        <v>21</v>
      </c>
      <c r="K420">
        <v>1500</v>
      </c>
      <c r="L420">
        <v>1268</v>
      </c>
      <c r="M420">
        <v>1</v>
      </c>
      <c r="N42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2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20" s="5" t="s">
        <v>1749</v>
      </c>
      <c r="Q420" t="str">
        <f>IF(OR(digital_banking_transactions3[[#This Row],[Nominal_Bersih]]&lt;0,digital_banking_transactions3[[#This Row],[Nominal_Bersih]]=0),"Invalid","Valid")</f>
        <v>Valid</v>
      </c>
      <c r="R42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45581</v>
      </c>
      <c r="S420" s="1" t="str">
        <f>TEXT(digital_banking_transactions3[[#This Row],[Tanggal_Bersih]],"MMMM YYYY")</f>
        <v>October 2024</v>
      </c>
      <c r="T42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2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21" spans="1:21" x14ac:dyDescent="0.35">
      <c r="A421" s="1" t="s">
        <v>1750</v>
      </c>
      <c r="B421" s="1" t="s">
        <v>1751</v>
      </c>
      <c r="C421" s="1" t="s">
        <v>1752</v>
      </c>
      <c r="D421" s="1" t="s">
        <v>110</v>
      </c>
      <c r="E421" s="1" t="s">
        <v>39</v>
      </c>
      <c r="F421" s="1" t="s">
        <v>1753</v>
      </c>
      <c r="G421" s="1" t="s">
        <v>126</v>
      </c>
      <c r="H421" s="1" t="s">
        <v>77</v>
      </c>
      <c r="I421" s="1" t="s">
        <v>21</v>
      </c>
      <c r="J421" s="1" t="s">
        <v>21</v>
      </c>
      <c r="K421">
        <v>7500</v>
      </c>
      <c r="L421">
        <v>4635</v>
      </c>
      <c r="M421">
        <v>0</v>
      </c>
      <c r="N42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2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21" s="5" t="s">
        <v>1753</v>
      </c>
      <c r="Q421" t="str">
        <f>IF(OR(digital_banking_transactions3[[#This Row],[Nominal_Bersih]]&lt;0,digital_banking_transactions3[[#This Row],[Nominal_Bersih]]=0),"Invalid","Valid")</f>
        <v>Valid</v>
      </c>
      <c r="R42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45482</v>
      </c>
      <c r="S421" s="1" t="str">
        <f>TEXT(digital_banking_transactions3[[#This Row],[Tanggal_Bersih]],"MMMM YYYY")</f>
        <v>July 2024</v>
      </c>
      <c r="T42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2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22" spans="1:21" x14ac:dyDescent="0.35">
      <c r="A422" s="1" t="s">
        <v>1754</v>
      </c>
      <c r="B422" s="1" t="s">
        <v>1755</v>
      </c>
      <c r="C422" s="1" t="s">
        <v>1756</v>
      </c>
      <c r="D422" s="1" t="s">
        <v>58</v>
      </c>
      <c r="E422" s="1" t="s">
        <v>52</v>
      </c>
      <c r="F422" s="1" t="s">
        <v>1757</v>
      </c>
      <c r="G422" s="1" t="s">
        <v>41</v>
      </c>
      <c r="H422" s="1" t="s">
        <v>77</v>
      </c>
      <c r="I422" s="1" t="s">
        <v>66</v>
      </c>
      <c r="J422" s="1" t="s">
        <v>21</v>
      </c>
      <c r="K422">
        <v>6500</v>
      </c>
      <c r="L422">
        <v>512</v>
      </c>
      <c r="M422">
        <v>0</v>
      </c>
      <c r="N42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2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22" s="5" t="s">
        <v>1757</v>
      </c>
      <c r="Q422" t="str">
        <f>IF(OR(digital_banking_transactions3[[#This Row],[Nominal_Bersih]]&lt;0,digital_banking_transactions3[[#This Row],[Nominal_Bersih]]=0),"Invalid","Valid")</f>
        <v>Valid</v>
      </c>
      <c r="R42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45298</v>
      </c>
      <c r="S422" s="1" t="str">
        <f>TEXT(digital_banking_transactions3[[#This Row],[Tanggal_Bersih]],"MMMM YYYY")</f>
        <v>January 2024</v>
      </c>
      <c r="T42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2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23" spans="1:21" x14ac:dyDescent="0.35">
      <c r="A423" s="1" t="s">
        <v>1758</v>
      </c>
      <c r="B423" s="1" t="s">
        <v>1759</v>
      </c>
      <c r="C423" s="1" t="s">
        <v>1760</v>
      </c>
      <c r="D423" s="1" t="s">
        <v>58</v>
      </c>
      <c r="E423" s="1" t="s">
        <v>94</v>
      </c>
      <c r="F423" s="1" t="s">
        <v>1761</v>
      </c>
      <c r="G423" s="1" t="s">
        <v>126</v>
      </c>
      <c r="H423" s="1" t="s">
        <v>35</v>
      </c>
      <c r="I423" s="1" t="s">
        <v>21</v>
      </c>
      <c r="J423" s="1" t="s">
        <v>21</v>
      </c>
      <c r="K423">
        <v>1500</v>
      </c>
      <c r="L423">
        <v>3765</v>
      </c>
      <c r="M423">
        <v>0</v>
      </c>
      <c r="N42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2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23" s="5" t="s">
        <v>1761</v>
      </c>
      <c r="Q423" t="str">
        <f>IF(OR(digital_banking_transactions3[[#This Row],[Nominal_Bersih]]&lt;0,digital_banking_transactions3[[#This Row],[Nominal_Bersih]]=0),"Invalid","Valid")</f>
        <v>Valid</v>
      </c>
      <c r="R42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45436</v>
      </c>
      <c r="S423" s="1" t="str">
        <f>TEXT(digital_banking_transactions3[[#This Row],[Tanggal_Bersih]],"MMMM YYYY")</f>
        <v>May 2024</v>
      </c>
      <c r="T42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2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24" spans="1:21" x14ac:dyDescent="0.35">
      <c r="A424" s="1" t="s">
        <v>1762</v>
      </c>
      <c r="B424" s="1" t="s">
        <v>1763</v>
      </c>
      <c r="C424" s="1" t="s">
        <v>1764</v>
      </c>
      <c r="D424" s="1" t="s">
        <v>25</v>
      </c>
      <c r="E424" s="1" t="s">
        <v>94</v>
      </c>
      <c r="F424" s="1">
        <v>54373300</v>
      </c>
      <c r="G424" s="1" t="s">
        <v>126</v>
      </c>
      <c r="H424" s="1" t="s">
        <v>106</v>
      </c>
      <c r="I424" s="1" t="s">
        <v>21</v>
      </c>
      <c r="J424" s="1" t="s">
        <v>226</v>
      </c>
      <c r="K424">
        <v>1500</v>
      </c>
      <c r="L424">
        <v>3921</v>
      </c>
      <c r="M424">
        <v>0</v>
      </c>
      <c r="N42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2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24" s="5">
        <v>54373300</v>
      </c>
      <c r="Q424" t="str">
        <f>IF(OR(digital_banking_transactions3[[#This Row],[Nominal_Bersih]]&lt;0,digital_banking_transactions3[[#This Row],[Nominal_Bersih]]=0),"Invalid","Valid")</f>
        <v>Valid</v>
      </c>
      <c r="R42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45613</v>
      </c>
      <c r="S424" s="1" t="str">
        <f>TEXT(digital_banking_transactions3[[#This Row],[Tanggal_Bersih]],"MMMM YYYY")</f>
        <v>November 2024</v>
      </c>
      <c r="T42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2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25" spans="1:21" x14ac:dyDescent="0.35">
      <c r="A425" s="1" t="s">
        <v>1766</v>
      </c>
      <c r="B425" s="1" t="s">
        <v>1767</v>
      </c>
      <c r="C425" s="1" t="s">
        <v>1768</v>
      </c>
      <c r="D425" s="1" t="s">
        <v>75</v>
      </c>
      <c r="E425" s="1" t="s">
        <v>52</v>
      </c>
      <c r="F425" s="4">
        <v>520524</v>
      </c>
      <c r="G425" s="1" t="s">
        <v>65</v>
      </c>
      <c r="H425" s="1" t="s">
        <v>54</v>
      </c>
      <c r="I425" s="1" t="s">
        <v>138</v>
      </c>
      <c r="J425" s="1" t="s">
        <v>226</v>
      </c>
      <c r="K425">
        <v>6500</v>
      </c>
      <c r="L425">
        <v>3163</v>
      </c>
      <c r="M425">
        <v>0</v>
      </c>
      <c r="N42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2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25" s="5">
        <v>520524</v>
      </c>
      <c r="Q425" t="str">
        <f>IF(OR(digital_banking_transactions3[[#This Row],[Nominal_Bersih]]&lt;0,digital_banking_transactions3[[#This Row],[Nominal_Bersih]]=0),"Invalid","Valid")</f>
        <v>Valid</v>
      </c>
      <c r="R42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45446</v>
      </c>
      <c r="S425" s="1" t="str">
        <f>TEXT(digital_banking_transactions3[[#This Row],[Tanggal_Bersih]],"MMMM YYYY")</f>
        <v>June 2024</v>
      </c>
      <c r="T42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2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26" spans="1:21" x14ac:dyDescent="0.35">
      <c r="A426" s="1" t="s">
        <v>1770</v>
      </c>
      <c r="B426" s="1" t="s">
        <v>1771</v>
      </c>
      <c r="C426" s="1" t="s">
        <v>1772</v>
      </c>
      <c r="D426" s="1" t="s">
        <v>16</v>
      </c>
      <c r="E426" s="1" t="s">
        <v>32</v>
      </c>
      <c r="F426" s="4">
        <v>333734</v>
      </c>
      <c r="G426" s="1" t="s">
        <v>41</v>
      </c>
      <c r="H426" s="1" t="s">
        <v>77</v>
      </c>
      <c r="I426" s="1" t="s">
        <v>21</v>
      </c>
      <c r="J426" s="1" t="s">
        <v>21</v>
      </c>
      <c r="K426">
        <v>0</v>
      </c>
      <c r="L426">
        <v>2138</v>
      </c>
      <c r="M426">
        <v>0</v>
      </c>
      <c r="N42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2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26" s="5">
        <v>333734</v>
      </c>
      <c r="Q426" t="str">
        <f>IF(OR(digital_banking_transactions3[[#This Row],[Nominal_Bersih]]&lt;0,digital_banking_transactions3[[#This Row],[Nominal_Bersih]]=0),"Invalid","Valid")</f>
        <v>Valid</v>
      </c>
      <c r="R42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45629</v>
      </c>
      <c r="S426" s="1" t="str">
        <f>TEXT(digital_banking_transactions3[[#This Row],[Tanggal_Bersih]],"MMMM YYYY")</f>
        <v>December 2024</v>
      </c>
      <c r="T42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2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27" spans="1:21" x14ac:dyDescent="0.35">
      <c r="A427" s="1" t="s">
        <v>1774</v>
      </c>
      <c r="B427" s="1" t="s">
        <v>1775</v>
      </c>
      <c r="C427" s="1" t="s">
        <v>1776</v>
      </c>
      <c r="D427" s="1" t="s">
        <v>25</v>
      </c>
      <c r="E427" s="1" t="s">
        <v>94</v>
      </c>
      <c r="F427" s="1" t="s">
        <v>1777</v>
      </c>
      <c r="G427" s="1" t="s">
        <v>65</v>
      </c>
      <c r="H427" s="1" t="s">
        <v>54</v>
      </c>
      <c r="I427" s="1" t="s">
        <v>21</v>
      </c>
      <c r="J427" s="1" t="s">
        <v>21</v>
      </c>
      <c r="K427">
        <v>1500</v>
      </c>
      <c r="L427">
        <v>804</v>
      </c>
      <c r="M427">
        <v>0</v>
      </c>
      <c r="N42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2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27" s="5" t="s">
        <v>1777</v>
      </c>
      <c r="Q427" t="str">
        <f>IF(OR(digital_banking_transactions3[[#This Row],[Nominal_Bersih]]&lt;0,digital_banking_transactions3[[#This Row],[Nominal_Bersih]]=0),"Invalid","Valid")</f>
        <v>Valid</v>
      </c>
      <c r="R42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45445</v>
      </c>
      <c r="S427" s="1" t="str">
        <f>TEXT(digital_banking_transactions3[[#This Row],[Tanggal_Bersih]],"MMMM YYYY")</f>
        <v>June 2024</v>
      </c>
      <c r="T42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2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28" spans="1:21" x14ac:dyDescent="0.35">
      <c r="A428" s="1" t="s">
        <v>1778</v>
      </c>
      <c r="B428" s="1" t="s">
        <v>1779</v>
      </c>
      <c r="C428" s="1" t="s">
        <v>1780</v>
      </c>
      <c r="D428" s="1" t="s">
        <v>75</v>
      </c>
      <c r="E428" s="1" t="s">
        <v>32</v>
      </c>
      <c r="F428" s="1">
        <v>1316375</v>
      </c>
      <c r="G428" s="1" t="s">
        <v>126</v>
      </c>
      <c r="H428" s="1" t="s">
        <v>106</v>
      </c>
      <c r="I428" s="1" t="s">
        <v>21</v>
      </c>
      <c r="J428" s="1" t="s">
        <v>21</v>
      </c>
      <c r="K428">
        <v>0</v>
      </c>
      <c r="L428">
        <v>1802</v>
      </c>
      <c r="M428">
        <v>0</v>
      </c>
      <c r="N42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2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28" s="5">
        <v>1316375</v>
      </c>
      <c r="Q428" t="str">
        <f>IF(OR(digital_banking_transactions3[[#This Row],[Nominal_Bersih]]&lt;0,digital_banking_transactions3[[#This Row],[Nominal_Bersih]]=0),"Invalid","Valid")</f>
        <v>Valid</v>
      </c>
      <c r="R42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45328</v>
      </c>
      <c r="S428" s="1" t="str">
        <f>TEXT(digital_banking_transactions3[[#This Row],[Tanggal_Bersih]],"MMMM YYYY")</f>
        <v>February 2024</v>
      </c>
      <c r="T42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2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29" spans="1:21" x14ac:dyDescent="0.35">
      <c r="A429" s="1" t="s">
        <v>1782</v>
      </c>
      <c r="B429" s="1" t="s">
        <v>1783</v>
      </c>
      <c r="C429" s="1" t="s">
        <v>1784</v>
      </c>
      <c r="D429" s="1" t="s">
        <v>75</v>
      </c>
      <c r="E429" s="1" t="s">
        <v>17</v>
      </c>
      <c r="F429" s="1" t="s">
        <v>1785</v>
      </c>
      <c r="G429" s="1" t="s">
        <v>65</v>
      </c>
      <c r="H429" s="1" t="s">
        <v>54</v>
      </c>
      <c r="I429" s="1" t="s">
        <v>21</v>
      </c>
      <c r="J429" s="1" t="s">
        <v>121</v>
      </c>
      <c r="K429">
        <v>2500</v>
      </c>
      <c r="L429">
        <v>3129</v>
      </c>
      <c r="M429">
        <v>0</v>
      </c>
      <c r="N42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2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29" s="5" t="s">
        <v>1785</v>
      </c>
      <c r="Q429" t="str">
        <f>IF(OR(digital_banking_transactions3[[#This Row],[Nominal_Bersih]]&lt;0,digital_banking_transactions3[[#This Row],[Nominal_Bersih]]=0),"Invalid","Valid")</f>
        <v>Valid</v>
      </c>
      <c r="R42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45451</v>
      </c>
      <c r="S429" s="1" t="str">
        <f>TEXT(digital_banking_transactions3[[#This Row],[Tanggal_Bersih]],"MMMM YYYY")</f>
        <v>June 2024</v>
      </c>
      <c r="T42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2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30" spans="1:21" x14ac:dyDescent="0.35">
      <c r="A430" s="1" t="s">
        <v>1786</v>
      </c>
      <c r="B430" s="1" t="s">
        <v>1787</v>
      </c>
      <c r="C430" s="1" t="s">
        <v>1788</v>
      </c>
      <c r="D430" s="1" t="s">
        <v>546</v>
      </c>
      <c r="E430" s="1" t="s">
        <v>32</v>
      </c>
      <c r="F430" s="1" t="s">
        <v>1789</v>
      </c>
      <c r="G430" s="1" t="s">
        <v>126</v>
      </c>
      <c r="H430" s="1" t="s">
        <v>96</v>
      </c>
      <c r="I430" s="1" t="s">
        <v>21</v>
      </c>
      <c r="J430" s="1" t="s">
        <v>21</v>
      </c>
      <c r="L430">
        <v>4543</v>
      </c>
      <c r="M430">
        <v>0</v>
      </c>
      <c r="N43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3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30" s="5" t="s">
        <v>1789</v>
      </c>
      <c r="Q430" t="str">
        <f>IF(OR(digital_banking_transactions3[[#This Row],[Nominal_Bersih]]&lt;0,digital_banking_transactions3[[#This Row],[Nominal_Bersih]]=0),"Invalid","Valid")</f>
        <v>Valid</v>
      </c>
      <c r="R43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45647</v>
      </c>
      <c r="S430" s="1" t="str">
        <f>TEXT(digital_banking_transactions3[[#This Row],[Tanggal_Bersih]],"MMMM YYYY")</f>
        <v>December 2024</v>
      </c>
      <c r="T43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3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31" spans="1:21" x14ac:dyDescent="0.35">
      <c r="A431" s="1" t="s">
        <v>1790</v>
      </c>
      <c r="B431" s="1" t="s">
        <v>1791</v>
      </c>
      <c r="C431" s="1" t="s">
        <v>1792</v>
      </c>
      <c r="D431" s="1" t="s">
        <v>58</v>
      </c>
      <c r="E431" s="1" t="s">
        <v>32</v>
      </c>
      <c r="F431" s="1">
        <v>1269885900</v>
      </c>
      <c r="G431" s="1" t="s">
        <v>41</v>
      </c>
      <c r="H431" s="1" t="s">
        <v>42</v>
      </c>
      <c r="I431" s="1" t="s">
        <v>21</v>
      </c>
      <c r="J431" s="1" t="s">
        <v>21</v>
      </c>
      <c r="K431">
        <v>0</v>
      </c>
      <c r="L431">
        <v>4625</v>
      </c>
      <c r="M431">
        <v>0</v>
      </c>
      <c r="N43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3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31" s="5">
        <v>1269885900</v>
      </c>
      <c r="Q431" t="str">
        <f>IF(OR(digital_banking_transactions3[[#This Row],[Nominal_Bersih]]&lt;0,digital_banking_transactions3[[#This Row],[Nominal_Bersih]]=0),"Invalid","Valid")</f>
        <v>Valid</v>
      </c>
      <c r="R43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45461</v>
      </c>
      <c r="S431" s="1" t="str">
        <f>TEXT(digital_banking_transactions3[[#This Row],[Tanggal_Bersih]],"MMMM YYYY")</f>
        <v>June 2024</v>
      </c>
      <c r="T43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3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32" spans="1:21" x14ac:dyDescent="0.35">
      <c r="A432" s="1" t="s">
        <v>1794</v>
      </c>
      <c r="B432" s="1" t="s">
        <v>1795</v>
      </c>
      <c r="C432" s="1" t="s">
        <v>1796</v>
      </c>
      <c r="D432" s="1" t="s">
        <v>58</v>
      </c>
      <c r="E432" s="1" t="s">
        <v>52</v>
      </c>
      <c r="F432" s="1" t="s">
        <v>1797</v>
      </c>
      <c r="G432" s="1" t="s">
        <v>65</v>
      </c>
      <c r="H432" s="1" t="s">
        <v>54</v>
      </c>
      <c r="I432" s="1" t="s">
        <v>21</v>
      </c>
      <c r="J432" s="1" t="s">
        <v>21</v>
      </c>
      <c r="K432">
        <v>6500</v>
      </c>
      <c r="L432">
        <v>426</v>
      </c>
      <c r="M432">
        <v>1</v>
      </c>
      <c r="N43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3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32" s="5" t="s">
        <v>1797</v>
      </c>
      <c r="Q432" t="str">
        <f>IF(OR(digital_banking_transactions3[[#This Row],[Nominal_Bersih]]&lt;0,digital_banking_transactions3[[#This Row],[Nominal_Bersih]]=0),"Invalid","Valid")</f>
        <v>Valid</v>
      </c>
      <c r="R43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45328</v>
      </c>
      <c r="S432" s="1" t="str">
        <f>TEXT(digital_banking_transactions3[[#This Row],[Tanggal_Bersih]],"MMMM YYYY")</f>
        <v>February 2024</v>
      </c>
      <c r="T43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3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33" spans="1:21" x14ac:dyDescent="0.35">
      <c r="A433" s="1" t="s">
        <v>1798</v>
      </c>
      <c r="B433" s="1" t="s">
        <v>1799</v>
      </c>
      <c r="C433" s="1" t="s">
        <v>1800</v>
      </c>
      <c r="D433" s="1" t="s">
        <v>58</v>
      </c>
      <c r="E433" s="1" t="s">
        <v>94</v>
      </c>
      <c r="F433" s="4">
        <v>6378255</v>
      </c>
      <c r="G433" s="1" t="s">
        <v>137</v>
      </c>
      <c r="H433" s="1" t="s">
        <v>96</v>
      </c>
      <c r="I433" s="1" t="s">
        <v>21</v>
      </c>
      <c r="J433" s="1" t="s">
        <v>21</v>
      </c>
      <c r="K433">
        <v>1500</v>
      </c>
      <c r="L433">
        <v>2352</v>
      </c>
      <c r="M433">
        <v>1</v>
      </c>
      <c r="N43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3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33" s="5">
        <v>6378255</v>
      </c>
      <c r="Q433" t="str">
        <f>IF(OR(digital_banking_transactions3[[#This Row],[Nominal_Bersih]]&lt;0,digital_banking_transactions3[[#This Row],[Nominal_Bersih]]=0),"Invalid","Valid")</f>
        <v>Valid</v>
      </c>
      <c r="R43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45376</v>
      </c>
      <c r="S433" s="1" t="str">
        <f>TEXT(digital_banking_transactions3[[#This Row],[Tanggal_Bersih]],"MMMM YYYY")</f>
        <v>March 2024</v>
      </c>
      <c r="T43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3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34" spans="1:21" x14ac:dyDescent="0.35">
      <c r="A434" s="1" t="s">
        <v>1802</v>
      </c>
      <c r="B434" s="1" t="s">
        <v>1803</v>
      </c>
      <c r="C434" s="1" t="s">
        <v>1804</v>
      </c>
      <c r="D434" s="1" t="s">
        <v>58</v>
      </c>
      <c r="E434" s="1" t="s">
        <v>94</v>
      </c>
      <c r="F434" s="1">
        <v>1685963000</v>
      </c>
      <c r="G434" s="1" t="s">
        <v>89</v>
      </c>
      <c r="H434" s="1" t="s">
        <v>20</v>
      </c>
      <c r="I434" s="1" t="s">
        <v>21</v>
      </c>
      <c r="J434" s="1" t="s">
        <v>21</v>
      </c>
      <c r="K434">
        <v>1500</v>
      </c>
      <c r="L434">
        <v>3695</v>
      </c>
      <c r="M434">
        <v>0</v>
      </c>
      <c r="N43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3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34" s="5">
        <v>1685963000</v>
      </c>
      <c r="Q434" t="str">
        <f>IF(OR(digital_banking_transactions3[[#This Row],[Nominal_Bersih]]&lt;0,digital_banking_transactions3[[#This Row],[Nominal_Bersih]]=0),"Invalid","Valid")</f>
        <v>Valid</v>
      </c>
      <c r="R43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45369</v>
      </c>
      <c r="S434" s="1" t="str">
        <f>TEXT(digital_banking_transactions3[[#This Row],[Tanggal_Bersih]],"MMMM YYYY")</f>
        <v>March 2024</v>
      </c>
      <c r="T43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3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35" spans="1:21" x14ac:dyDescent="0.35">
      <c r="A435" s="1" t="s">
        <v>1806</v>
      </c>
      <c r="B435" s="1" t="s">
        <v>1807</v>
      </c>
      <c r="C435" s="1" t="s">
        <v>1808</v>
      </c>
      <c r="D435" s="1" t="s">
        <v>16</v>
      </c>
      <c r="E435" s="1" t="s">
        <v>39</v>
      </c>
      <c r="F435" s="4">
        <v>248209</v>
      </c>
      <c r="G435" s="1" t="s">
        <v>105</v>
      </c>
      <c r="H435" s="1" t="s">
        <v>77</v>
      </c>
      <c r="I435" s="1" t="s">
        <v>21</v>
      </c>
      <c r="J435" s="1" t="s">
        <v>21</v>
      </c>
      <c r="K435">
        <v>7500</v>
      </c>
      <c r="L435">
        <v>2616</v>
      </c>
      <c r="M435">
        <v>0</v>
      </c>
      <c r="N43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3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35" s="5">
        <v>248209</v>
      </c>
      <c r="Q435" t="str">
        <f>IF(OR(digital_banking_transactions3[[#This Row],[Nominal_Bersih]]&lt;0,digital_banking_transactions3[[#This Row],[Nominal_Bersih]]=0),"Invalid","Valid")</f>
        <v>Valid</v>
      </c>
      <c r="R43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45296</v>
      </c>
      <c r="S435" s="1" t="str">
        <f>TEXT(digital_banking_transactions3[[#This Row],[Tanggal_Bersih]],"MMMM YYYY")</f>
        <v>January 2024</v>
      </c>
      <c r="T43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3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36" spans="1:21" x14ac:dyDescent="0.35">
      <c r="A436" s="1" t="s">
        <v>1810</v>
      </c>
      <c r="B436" s="1" t="s">
        <v>1811</v>
      </c>
      <c r="C436" s="1" t="s">
        <v>1812</v>
      </c>
      <c r="D436" s="1" t="s">
        <v>25</v>
      </c>
      <c r="E436" s="1" t="s">
        <v>39</v>
      </c>
      <c r="F436" s="1">
        <v>2278938</v>
      </c>
      <c r="G436" s="1" t="s">
        <v>137</v>
      </c>
      <c r="H436" s="1" t="s">
        <v>54</v>
      </c>
      <c r="I436" s="1" t="s">
        <v>21</v>
      </c>
      <c r="J436" s="1" t="s">
        <v>121</v>
      </c>
      <c r="K436">
        <v>7500</v>
      </c>
      <c r="L436">
        <v>4243</v>
      </c>
      <c r="M436">
        <v>0</v>
      </c>
      <c r="N43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3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36" s="5">
        <v>2278938</v>
      </c>
      <c r="Q436" t="str">
        <f>IF(OR(digital_banking_transactions3[[#This Row],[Nominal_Bersih]]&lt;0,digital_banking_transactions3[[#This Row],[Nominal_Bersih]]=0),"Invalid","Valid")</f>
        <v>Valid</v>
      </c>
      <c r="R43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45563</v>
      </c>
      <c r="S436" s="1" t="str">
        <f>TEXT(digital_banking_transactions3[[#This Row],[Tanggal_Bersih]],"MMMM YYYY")</f>
        <v>September 2024</v>
      </c>
      <c r="T43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3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37" spans="1:21" x14ac:dyDescent="0.35">
      <c r="A437" s="1" t="s">
        <v>1814</v>
      </c>
      <c r="B437" s="1" t="s">
        <v>1815</v>
      </c>
      <c r="C437" s="1" t="s">
        <v>1816</v>
      </c>
      <c r="D437" s="1" t="s">
        <v>16</v>
      </c>
      <c r="E437" s="1" t="s">
        <v>39</v>
      </c>
      <c r="F437" s="4">
        <v>253144</v>
      </c>
      <c r="G437" s="1" t="s">
        <v>126</v>
      </c>
      <c r="H437" s="1" t="s">
        <v>60</v>
      </c>
      <c r="I437" s="1" t="s">
        <v>21</v>
      </c>
      <c r="J437" s="1" t="s">
        <v>21</v>
      </c>
      <c r="K437">
        <v>7500</v>
      </c>
      <c r="L437">
        <v>1435</v>
      </c>
      <c r="M437">
        <v>0</v>
      </c>
      <c r="N43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3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37" s="5">
        <v>253144</v>
      </c>
      <c r="Q437" t="str">
        <f>IF(OR(digital_banking_transactions3[[#This Row],[Nominal_Bersih]]&lt;0,digital_banking_transactions3[[#This Row],[Nominal_Bersih]]=0),"Invalid","Valid")</f>
        <v>Valid</v>
      </c>
      <c r="R43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45449</v>
      </c>
      <c r="S437" s="1" t="str">
        <f>TEXT(digital_banking_transactions3[[#This Row],[Tanggal_Bersih]],"MMMM YYYY")</f>
        <v>June 2024</v>
      </c>
      <c r="T43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3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38" spans="1:21" x14ac:dyDescent="0.35">
      <c r="A438" s="1" t="s">
        <v>1818</v>
      </c>
      <c r="B438" s="1" t="s">
        <v>573</v>
      </c>
      <c r="C438" s="1" t="s">
        <v>574</v>
      </c>
      <c r="D438" s="1" t="s">
        <v>75</v>
      </c>
      <c r="E438" s="1" t="s">
        <v>17</v>
      </c>
      <c r="F438" s="1">
        <v>32281889</v>
      </c>
      <c r="G438" s="1" t="s">
        <v>126</v>
      </c>
      <c r="H438" s="1" t="s">
        <v>54</v>
      </c>
      <c r="I438" s="1" t="s">
        <v>21</v>
      </c>
      <c r="J438" s="1" t="s">
        <v>71</v>
      </c>
      <c r="K438">
        <v>2500</v>
      </c>
      <c r="L438">
        <v>527</v>
      </c>
      <c r="M438">
        <v>0</v>
      </c>
      <c r="N43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3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38" s="5">
        <v>32281889</v>
      </c>
      <c r="Q438" t="str">
        <f>IF(OR(digital_banking_transactions3[[#This Row],[Nominal_Bersih]]&lt;0,digital_banking_transactions3[[#This Row],[Nominal_Bersih]]=0),"Invalid","Valid")</f>
        <v>Valid</v>
      </c>
      <c r="R43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45635</v>
      </c>
      <c r="S438" s="1" t="str">
        <f>TEXT(digital_banking_transactions3[[#This Row],[Tanggal_Bersih]],"MMMM YYYY")</f>
        <v>December 2024</v>
      </c>
      <c r="T43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3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39" spans="1:21" x14ac:dyDescent="0.35">
      <c r="A439" s="1" t="s">
        <v>1820</v>
      </c>
      <c r="B439" s="1" t="s">
        <v>1821</v>
      </c>
      <c r="C439" s="1" t="s">
        <v>1822</v>
      </c>
      <c r="D439" s="1" t="s">
        <v>58</v>
      </c>
      <c r="E439" s="1" t="s">
        <v>32</v>
      </c>
      <c r="F439" s="1" t="s">
        <v>1823</v>
      </c>
      <c r="G439" s="1" t="s">
        <v>137</v>
      </c>
      <c r="H439" s="1" t="s">
        <v>60</v>
      </c>
      <c r="I439" s="1" t="s">
        <v>21</v>
      </c>
      <c r="J439" s="1" t="s">
        <v>21</v>
      </c>
      <c r="K439">
        <v>0</v>
      </c>
      <c r="L439">
        <v>4913</v>
      </c>
      <c r="M439">
        <v>0</v>
      </c>
      <c r="N43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3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39" s="5" t="s">
        <v>1823</v>
      </c>
      <c r="Q439" t="str">
        <f>IF(OR(digital_banking_transactions3[[#This Row],[Nominal_Bersih]]&lt;0,digital_banking_transactions3[[#This Row],[Nominal_Bersih]]=0),"Invalid","Valid")</f>
        <v>Valid</v>
      </c>
      <c r="R43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45456</v>
      </c>
      <c r="S439" s="1" t="str">
        <f>TEXT(digital_banking_transactions3[[#This Row],[Tanggal_Bersih]],"MMMM YYYY")</f>
        <v>June 2024</v>
      </c>
      <c r="T43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3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40" spans="1:21" x14ac:dyDescent="0.35">
      <c r="A440" s="1" t="s">
        <v>1824</v>
      </c>
      <c r="B440" s="1" t="s">
        <v>1361</v>
      </c>
      <c r="C440" s="1" t="s">
        <v>1825</v>
      </c>
      <c r="D440" s="1" t="s">
        <v>58</v>
      </c>
      <c r="E440" s="1" t="s">
        <v>52</v>
      </c>
      <c r="F440" s="1">
        <v>3372049</v>
      </c>
      <c r="G440" s="1" t="s">
        <v>381</v>
      </c>
      <c r="H440" s="1" t="s">
        <v>60</v>
      </c>
      <c r="I440" s="1" t="s">
        <v>131</v>
      </c>
      <c r="J440" s="1" t="s">
        <v>21</v>
      </c>
      <c r="K440">
        <v>6500</v>
      </c>
      <c r="L440">
        <v>4732</v>
      </c>
      <c r="M440">
        <v>0</v>
      </c>
      <c r="N44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4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40" s="5">
        <v>3372049</v>
      </c>
      <c r="Q440" t="str">
        <f>IF(OR(digital_banking_transactions3[[#This Row],[Nominal_Bersih]]&lt;0,digital_banking_transactions3[[#This Row],[Nominal_Bersih]]=0),"Invalid","Valid")</f>
        <v>Valid</v>
      </c>
      <c r="R44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45387</v>
      </c>
      <c r="S440" s="1" t="str">
        <f>TEXT(digital_banking_transactions3[[#This Row],[Tanggal_Bersih]],"MMMM YYYY")</f>
        <v>April 2024</v>
      </c>
      <c r="T44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4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41" spans="1:21" x14ac:dyDescent="0.35">
      <c r="A441" s="1" t="s">
        <v>1827</v>
      </c>
      <c r="B441" s="1" t="s">
        <v>1828</v>
      </c>
      <c r="C441" s="1" t="s">
        <v>1829</v>
      </c>
      <c r="D441" s="1" t="s">
        <v>75</v>
      </c>
      <c r="E441" s="1" t="s">
        <v>52</v>
      </c>
      <c r="F441" s="1">
        <v>8695278</v>
      </c>
      <c r="G441" s="1" t="s">
        <v>27</v>
      </c>
      <c r="H441" s="1" t="s">
        <v>20</v>
      </c>
      <c r="I441" s="1" t="s">
        <v>138</v>
      </c>
      <c r="J441" s="1" t="s">
        <v>121</v>
      </c>
      <c r="K441">
        <v>6500</v>
      </c>
      <c r="L441">
        <v>4805</v>
      </c>
      <c r="M441">
        <v>0</v>
      </c>
      <c r="N44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4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41" s="5">
        <v>8695278</v>
      </c>
      <c r="Q441" t="str">
        <f>IF(OR(digital_banking_transactions3[[#This Row],[Nominal_Bersih]]&lt;0,digital_banking_transactions3[[#This Row],[Nominal_Bersih]]=0),"Invalid","Valid")</f>
        <v>Valid</v>
      </c>
      <c r="R44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45572</v>
      </c>
      <c r="S441" s="1" t="str">
        <f>TEXT(digital_banking_transactions3[[#This Row],[Tanggal_Bersih]],"MMMM YYYY")</f>
        <v>October 2024</v>
      </c>
      <c r="T44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4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42" spans="1:21" x14ac:dyDescent="0.35">
      <c r="A442" s="1" t="s">
        <v>1831</v>
      </c>
      <c r="B442" s="1" t="s">
        <v>1832</v>
      </c>
      <c r="C442" s="1" t="s">
        <v>1833</v>
      </c>
      <c r="D442" s="1" t="s">
        <v>16</v>
      </c>
      <c r="E442" s="1" t="s">
        <v>52</v>
      </c>
      <c r="F442" s="1" t="s">
        <v>1834</v>
      </c>
      <c r="G442" s="1" t="s">
        <v>126</v>
      </c>
      <c r="H442" s="1" t="s">
        <v>54</v>
      </c>
      <c r="I442" s="1" t="s">
        <v>21</v>
      </c>
      <c r="J442" s="1" t="s">
        <v>21</v>
      </c>
      <c r="K442">
        <v>6500</v>
      </c>
      <c r="L442">
        <v>2711</v>
      </c>
      <c r="M442">
        <v>1</v>
      </c>
      <c r="N44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4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42" s="5" t="s">
        <v>1834</v>
      </c>
      <c r="Q442" t="str">
        <f>IF(OR(digital_banking_transactions3[[#This Row],[Nominal_Bersih]]&lt;0,digital_banking_transactions3[[#This Row],[Nominal_Bersih]]=0),"Invalid","Valid")</f>
        <v>Valid</v>
      </c>
      <c r="R44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45430</v>
      </c>
      <c r="S442" s="1" t="str">
        <f>TEXT(digital_banking_transactions3[[#This Row],[Tanggal_Bersih]],"MMMM YYYY")</f>
        <v>May 2024</v>
      </c>
      <c r="T44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4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43" spans="1:21" x14ac:dyDescent="0.35">
      <c r="A443" s="1" t="s">
        <v>1835</v>
      </c>
      <c r="B443" s="1" t="s">
        <v>1836</v>
      </c>
      <c r="C443" s="1" t="s">
        <v>1837</v>
      </c>
      <c r="D443" s="1" t="s">
        <v>25</v>
      </c>
      <c r="E443" s="1" t="s">
        <v>17</v>
      </c>
      <c r="F443" s="1">
        <v>453010000</v>
      </c>
      <c r="G443" s="1" t="s">
        <v>105</v>
      </c>
      <c r="H443" s="1" t="s">
        <v>96</v>
      </c>
      <c r="I443" s="1" t="s">
        <v>21</v>
      </c>
      <c r="J443" s="1" t="s">
        <v>286</v>
      </c>
      <c r="L443">
        <v>3602</v>
      </c>
      <c r="M443">
        <v>0</v>
      </c>
      <c r="N44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4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43" s="5">
        <v>453010000</v>
      </c>
      <c r="Q443" t="str">
        <f>IF(OR(digital_banking_transactions3[[#This Row],[Nominal_Bersih]]&lt;0,digital_banking_transactions3[[#This Row],[Nominal_Bersih]]=0),"Invalid","Valid")</f>
        <v>Valid</v>
      </c>
      <c r="R44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45346</v>
      </c>
      <c r="S443" s="1" t="str">
        <f>TEXT(digital_banking_transactions3[[#This Row],[Tanggal_Bersih]],"MMMM YYYY")</f>
        <v>February 2024</v>
      </c>
      <c r="T44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4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44" spans="1:21" x14ac:dyDescent="0.35">
      <c r="A444" s="1" t="s">
        <v>1839</v>
      </c>
      <c r="B444" s="1" t="s">
        <v>257</v>
      </c>
      <c r="C444" s="1" t="s">
        <v>1840</v>
      </c>
      <c r="D444" s="1" t="s">
        <v>58</v>
      </c>
      <c r="E444" s="1" t="s">
        <v>52</v>
      </c>
      <c r="F444" s="1" t="s">
        <v>1841</v>
      </c>
      <c r="G444" s="1" t="s">
        <v>65</v>
      </c>
      <c r="H444" s="1" t="s">
        <v>42</v>
      </c>
      <c r="I444" s="1" t="s">
        <v>138</v>
      </c>
      <c r="J444" s="1" t="s">
        <v>21</v>
      </c>
      <c r="K444">
        <v>6500</v>
      </c>
      <c r="L444">
        <v>4813</v>
      </c>
      <c r="M444">
        <v>0</v>
      </c>
      <c r="N44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4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44" s="5" t="s">
        <v>1841</v>
      </c>
      <c r="Q444" t="str">
        <f>IF(OR(digital_banking_transactions3[[#This Row],[Nominal_Bersih]]&lt;0,digital_banking_transactions3[[#This Row],[Nominal_Bersih]]=0),"Invalid","Valid")</f>
        <v>Valid</v>
      </c>
      <c r="R44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45346</v>
      </c>
      <c r="S444" s="1" t="str">
        <f>TEXT(digital_banking_transactions3[[#This Row],[Tanggal_Bersih]],"MMMM YYYY")</f>
        <v>February 2024</v>
      </c>
      <c r="T44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4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45" spans="1:21" x14ac:dyDescent="0.35">
      <c r="A445" s="1" t="s">
        <v>1842</v>
      </c>
      <c r="B445" s="1" t="s">
        <v>1843</v>
      </c>
      <c r="C445" s="1" t="s">
        <v>1844</v>
      </c>
      <c r="D445" s="1" t="s">
        <v>46</v>
      </c>
      <c r="E445" s="1" t="s">
        <v>52</v>
      </c>
      <c r="F445" s="1" t="s">
        <v>1845</v>
      </c>
      <c r="G445" s="1" t="s">
        <v>485</v>
      </c>
      <c r="H445" s="1" t="s">
        <v>106</v>
      </c>
      <c r="I445" s="1" t="s">
        <v>21</v>
      </c>
      <c r="J445" s="1" t="s">
        <v>21</v>
      </c>
      <c r="K445">
        <v>6500</v>
      </c>
      <c r="L445">
        <v>1620</v>
      </c>
      <c r="M445">
        <v>0</v>
      </c>
      <c r="N44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4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45" s="5" t="s">
        <v>1845</v>
      </c>
      <c r="Q445" t="str">
        <f>IF(OR(digital_banking_transactions3[[#This Row],[Nominal_Bersih]]&lt;0,digital_banking_transactions3[[#This Row],[Nominal_Bersih]]=0),"Invalid","Valid")</f>
        <v>Valid</v>
      </c>
      <c r="R44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45341</v>
      </c>
      <c r="S445" s="1" t="str">
        <f>TEXT(digital_banking_transactions3[[#This Row],[Tanggal_Bersih]],"MMMM YYYY")</f>
        <v>February 2024</v>
      </c>
      <c r="T44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4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46" spans="1:21" x14ac:dyDescent="0.35">
      <c r="A446" s="1" t="s">
        <v>1847</v>
      </c>
      <c r="B446" s="1" t="s">
        <v>1848</v>
      </c>
      <c r="C446" s="1" t="s">
        <v>1849</v>
      </c>
      <c r="D446" s="1" t="s">
        <v>58</v>
      </c>
      <c r="E446" s="1" t="s">
        <v>17</v>
      </c>
      <c r="F446" s="1" t="s">
        <v>1850</v>
      </c>
      <c r="G446" s="1" t="s">
        <v>41</v>
      </c>
      <c r="H446" s="1" t="s">
        <v>96</v>
      </c>
      <c r="I446" s="1" t="s">
        <v>21</v>
      </c>
      <c r="J446" s="1" t="s">
        <v>21</v>
      </c>
      <c r="K446">
        <v>2500</v>
      </c>
      <c r="L446">
        <v>3552</v>
      </c>
      <c r="M446">
        <v>0</v>
      </c>
      <c r="N44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4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46" s="5" t="s">
        <v>1850</v>
      </c>
      <c r="Q446" t="str">
        <f>IF(OR(digital_banking_transactions3[[#This Row],[Nominal_Bersih]]&lt;0,digital_banking_transactions3[[#This Row],[Nominal_Bersih]]=0),"Invalid","Valid")</f>
        <v>Valid</v>
      </c>
      <c r="R44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45294</v>
      </c>
      <c r="S446" s="1" t="str">
        <f>TEXT(digital_banking_transactions3[[#This Row],[Tanggal_Bersih]],"MMMM YYYY")</f>
        <v>January 2024</v>
      </c>
      <c r="T44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4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47" spans="1:21" x14ac:dyDescent="0.35">
      <c r="A447" s="1" t="s">
        <v>1851</v>
      </c>
      <c r="B447" s="1" t="s">
        <v>1852</v>
      </c>
      <c r="C447" s="1" t="s">
        <v>1853</v>
      </c>
      <c r="D447" s="1" t="s">
        <v>75</v>
      </c>
      <c r="E447" s="1" t="s">
        <v>52</v>
      </c>
      <c r="F447" s="1" t="s">
        <v>1854</v>
      </c>
      <c r="G447" s="1" t="s">
        <v>27</v>
      </c>
      <c r="H447" s="1" t="s">
        <v>35</v>
      </c>
      <c r="I447" s="1" t="s">
        <v>138</v>
      </c>
      <c r="J447" s="1" t="s">
        <v>121</v>
      </c>
      <c r="K447">
        <v>6500</v>
      </c>
      <c r="L447">
        <v>972</v>
      </c>
      <c r="M447">
        <v>1</v>
      </c>
      <c r="N44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4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47" s="5" t="s">
        <v>1854</v>
      </c>
      <c r="Q447" t="str">
        <f>IF(OR(digital_banking_transactions3[[#This Row],[Nominal_Bersih]]&lt;0,digital_banking_transactions3[[#This Row],[Nominal_Bersih]]=0),"Invalid","Valid")</f>
        <v>Valid</v>
      </c>
      <c r="R44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45513</v>
      </c>
      <c r="S447" s="1" t="str">
        <f>TEXT(digital_banking_transactions3[[#This Row],[Tanggal_Bersih]],"MMMM YYYY")</f>
        <v>August 2024</v>
      </c>
      <c r="T44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4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48" spans="1:21" x14ac:dyDescent="0.35">
      <c r="A448" s="1" t="s">
        <v>1855</v>
      </c>
      <c r="B448" s="1" t="s">
        <v>1856</v>
      </c>
      <c r="C448" s="1" t="s">
        <v>1857</v>
      </c>
      <c r="D448" s="1" t="s">
        <v>16</v>
      </c>
      <c r="E448" s="1" t="s">
        <v>32</v>
      </c>
      <c r="F448" s="1" t="s">
        <v>1858</v>
      </c>
      <c r="G448" s="1" t="s">
        <v>65</v>
      </c>
      <c r="H448" s="1" t="s">
        <v>106</v>
      </c>
      <c r="I448" s="1" t="s">
        <v>21</v>
      </c>
      <c r="J448" s="1" t="s">
        <v>21</v>
      </c>
      <c r="K448">
        <v>0</v>
      </c>
      <c r="L448">
        <v>2648</v>
      </c>
      <c r="M448">
        <v>1</v>
      </c>
      <c r="N44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4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48" s="5" t="s">
        <v>1858</v>
      </c>
      <c r="Q448" t="str">
        <f>IF(OR(digital_banking_transactions3[[#This Row],[Nominal_Bersih]]&lt;0,digital_banking_transactions3[[#This Row],[Nominal_Bersih]]=0),"Invalid","Valid")</f>
        <v>Valid</v>
      </c>
      <c r="R44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45357</v>
      </c>
      <c r="S448" s="1" t="str">
        <f>TEXT(digital_banking_transactions3[[#This Row],[Tanggal_Bersih]],"MMMM YYYY")</f>
        <v>March 2024</v>
      </c>
      <c r="T44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4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49" spans="1:21" x14ac:dyDescent="0.35">
      <c r="A449" s="1" t="s">
        <v>1859</v>
      </c>
      <c r="B449" s="1" t="s">
        <v>1860</v>
      </c>
      <c r="C449" s="1" t="s">
        <v>1861</v>
      </c>
      <c r="D449" s="1" t="s">
        <v>93</v>
      </c>
      <c r="E449" s="1" t="s">
        <v>39</v>
      </c>
      <c r="F449" s="1" t="s">
        <v>1862</v>
      </c>
      <c r="G449" s="1" t="s">
        <v>48</v>
      </c>
      <c r="H449" s="1" t="s">
        <v>96</v>
      </c>
      <c r="I449" s="1" t="s">
        <v>21</v>
      </c>
      <c r="J449" s="1" t="s">
        <v>226</v>
      </c>
      <c r="K449">
        <v>7500</v>
      </c>
      <c r="L449">
        <v>2048</v>
      </c>
      <c r="M449">
        <v>0</v>
      </c>
      <c r="N44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4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49" s="5" t="s">
        <v>1862</v>
      </c>
      <c r="Q449" t="str">
        <f>IF(OR(digital_banking_transactions3[[#This Row],[Nominal_Bersih]]&lt;0,digital_banking_transactions3[[#This Row],[Nominal_Bersih]]=0),"Invalid","Valid")</f>
        <v>Valid</v>
      </c>
      <c r="R44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45437</v>
      </c>
      <c r="S449" s="1" t="str">
        <f>TEXT(digital_banking_transactions3[[#This Row],[Tanggal_Bersih]],"MMMM YYYY")</f>
        <v>May 2024</v>
      </c>
      <c r="T44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4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50" spans="1:21" x14ac:dyDescent="0.35">
      <c r="A450" s="1" t="s">
        <v>1863</v>
      </c>
      <c r="B450" s="1" t="s">
        <v>1864</v>
      </c>
      <c r="C450" s="1" t="s">
        <v>1865</v>
      </c>
      <c r="D450" s="1" t="s">
        <v>75</v>
      </c>
      <c r="E450" s="1" t="s">
        <v>94</v>
      </c>
      <c r="F450" s="1">
        <v>501641</v>
      </c>
      <c r="G450" s="1" t="s">
        <v>19</v>
      </c>
      <c r="H450" s="1" t="s">
        <v>35</v>
      </c>
      <c r="I450" s="1" t="s">
        <v>21</v>
      </c>
      <c r="J450" s="1" t="s">
        <v>71</v>
      </c>
      <c r="K450">
        <v>1500</v>
      </c>
      <c r="L450">
        <v>4388</v>
      </c>
      <c r="M450">
        <v>0</v>
      </c>
      <c r="N45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5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50" s="5">
        <v>501641</v>
      </c>
      <c r="Q450" t="str">
        <f>IF(OR(digital_banking_transactions3[[#This Row],[Nominal_Bersih]]&lt;0,digital_banking_transactions3[[#This Row],[Nominal_Bersih]]=0),"Invalid","Valid")</f>
        <v>Valid</v>
      </c>
      <c r="R45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45401</v>
      </c>
      <c r="S450" s="1" t="str">
        <f>TEXT(digital_banking_transactions3[[#This Row],[Tanggal_Bersih]],"MMMM YYYY")</f>
        <v>April 2024</v>
      </c>
      <c r="T45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5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51" spans="1:21" x14ac:dyDescent="0.35">
      <c r="A451" s="1" t="s">
        <v>1867</v>
      </c>
      <c r="B451" s="1" t="s">
        <v>1868</v>
      </c>
      <c r="C451" s="1" t="s">
        <v>1869</v>
      </c>
      <c r="D451" s="1" t="s">
        <v>25</v>
      </c>
      <c r="E451" s="1" t="s">
        <v>94</v>
      </c>
      <c r="F451" s="1" t="s">
        <v>1870</v>
      </c>
      <c r="G451" s="1" t="s">
        <v>264</v>
      </c>
      <c r="H451" s="1" t="s">
        <v>54</v>
      </c>
      <c r="I451" s="1" t="s">
        <v>21</v>
      </c>
      <c r="J451" s="1" t="s">
        <v>79</v>
      </c>
      <c r="K451">
        <v>1500</v>
      </c>
      <c r="L451">
        <v>3093</v>
      </c>
      <c r="M451">
        <v>0</v>
      </c>
      <c r="N45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5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51" s="5" t="s">
        <v>1870</v>
      </c>
      <c r="Q451" t="str">
        <f>IF(OR(digital_banking_transactions3[[#This Row],[Nominal_Bersih]]&lt;0,digital_banking_transactions3[[#This Row],[Nominal_Bersih]]=0),"Invalid","Valid")</f>
        <v>Valid</v>
      </c>
      <c r="R45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45293</v>
      </c>
      <c r="S451" s="1" t="str">
        <f>TEXT(digital_banking_transactions3[[#This Row],[Tanggal_Bersih]],"MMMM YYYY")</f>
        <v>January 2024</v>
      </c>
      <c r="T45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5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52" spans="1:21" x14ac:dyDescent="0.35">
      <c r="A452" s="1" t="s">
        <v>1871</v>
      </c>
      <c r="B452" s="1" t="s">
        <v>1872</v>
      </c>
      <c r="C452" s="1" t="s">
        <v>1873</v>
      </c>
      <c r="D452" s="1" t="s">
        <v>16</v>
      </c>
      <c r="E452" s="1" t="s">
        <v>39</v>
      </c>
      <c r="F452" s="1" t="s">
        <v>1874</v>
      </c>
      <c r="G452" s="1" t="s">
        <v>48</v>
      </c>
      <c r="H452" s="1" t="s">
        <v>42</v>
      </c>
      <c r="I452" s="1" t="s">
        <v>21</v>
      </c>
      <c r="J452" s="1" t="s">
        <v>21</v>
      </c>
      <c r="K452">
        <v>7500</v>
      </c>
      <c r="L452">
        <v>1920</v>
      </c>
      <c r="M452">
        <v>1</v>
      </c>
      <c r="N45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5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52" s="5" t="s">
        <v>1874</v>
      </c>
      <c r="Q452" t="str">
        <f>IF(OR(digital_banking_transactions3[[#This Row],[Nominal_Bersih]]&lt;0,digital_banking_transactions3[[#This Row],[Nominal_Bersih]]=0),"Invalid","Valid")</f>
        <v>Valid</v>
      </c>
      <c r="R45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45602</v>
      </c>
      <c r="S452" s="1" t="str">
        <f>TEXT(digital_banking_transactions3[[#This Row],[Tanggal_Bersih]],"MMMM YYYY")</f>
        <v>November 2024</v>
      </c>
      <c r="T45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5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53" spans="1:21" x14ac:dyDescent="0.35">
      <c r="A453" s="1" t="s">
        <v>1875</v>
      </c>
      <c r="B453" s="1" t="s">
        <v>1876</v>
      </c>
      <c r="C453" s="1" t="s">
        <v>1877</v>
      </c>
      <c r="D453" s="1" t="s">
        <v>16</v>
      </c>
      <c r="E453" s="1" t="s">
        <v>94</v>
      </c>
      <c r="F453" s="1">
        <v>243231400</v>
      </c>
      <c r="G453" s="1" t="s">
        <v>65</v>
      </c>
      <c r="H453" s="1" t="s">
        <v>106</v>
      </c>
      <c r="I453" s="1" t="s">
        <v>21</v>
      </c>
      <c r="J453" s="1" t="s">
        <v>21</v>
      </c>
      <c r="K453">
        <v>1500</v>
      </c>
      <c r="L453">
        <v>867</v>
      </c>
      <c r="M453">
        <v>0</v>
      </c>
      <c r="N45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5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53" s="5">
        <v>243231400</v>
      </c>
      <c r="Q453" t="str">
        <f>IF(OR(digital_banking_transactions3[[#This Row],[Nominal_Bersih]]&lt;0,digital_banking_transactions3[[#This Row],[Nominal_Bersih]]=0),"Invalid","Valid")</f>
        <v>Valid</v>
      </c>
      <c r="R45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45501</v>
      </c>
      <c r="S453" s="1" t="str">
        <f>TEXT(digital_banking_transactions3[[#This Row],[Tanggal_Bersih]],"MMMM YYYY")</f>
        <v>July 2024</v>
      </c>
      <c r="T45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5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54" spans="1:21" x14ac:dyDescent="0.35">
      <c r="A454" s="1" t="s">
        <v>1879</v>
      </c>
      <c r="B454" s="1" t="s">
        <v>1880</v>
      </c>
      <c r="C454" s="1" t="s">
        <v>1881</v>
      </c>
      <c r="D454" s="1" t="s">
        <v>16</v>
      </c>
      <c r="E454" s="1" t="s">
        <v>32</v>
      </c>
      <c r="F454" s="1" t="s">
        <v>1882</v>
      </c>
      <c r="G454" s="1" t="s">
        <v>65</v>
      </c>
      <c r="H454" s="1" t="s">
        <v>96</v>
      </c>
      <c r="I454" s="1" t="s">
        <v>21</v>
      </c>
      <c r="J454" s="1" t="s">
        <v>21</v>
      </c>
      <c r="K454">
        <v>0</v>
      </c>
      <c r="L454">
        <v>2660</v>
      </c>
      <c r="M454">
        <v>0</v>
      </c>
      <c r="N45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5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54" s="5" t="s">
        <v>1882</v>
      </c>
      <c r="Q454" t="str">
        <f>IF(OR(digital_banking_transactions3[[#This Row],[Nominal_Bersih]]&lt;0,digital_banking_transactions3[[#This Row],[Nominal_Bersih]]=0),"Invalid","Valid")</f>
        <v>Valid</v>
      </c>
      <c r="R45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45577</v>
      </c>
      <c r="S454" s="1" t="str">
        <f>TEXT(digital_banking_transactions3[[#This Row],[Tanggal_Bersih]],"MMMM YYYY")</f>
        <v>October 2024</v>
      </c>
      <c r="T45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5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55" spans="1:21" x14ac:dyDescent="0.35">
      <c r="A455" s="1" t="s">
        <v>1883</v>
      </c>
      <c r="B455" s="1" t="s">
        <v>1884</v>
      </c>
      <c r="C455" s="1" t="s">
        <v>1885</v>
      </c>
      <c r="D455" s="1" t="s">
        <v>16</v>
      </c>
      <c r="E455" s="1" t="s">
        <v>17</v>
      </c>
      <c r="F455" s="1" t="s">
        <v>1886</v>
      </c>
      <c r="G455" s="1" t="s">
        <v>41</v>
      </c>
      <c r="H455" s="1" t="s">
        <v>96</v>
      </c>
      <c r="I455" s="1" t="s">
        <v>21</v>
      </c>
      <c r="J455" s="1" t="s">
        <v>21</v>
      </c>
      <c r="K455">
        <v>2500</v>
      </c>
      <c r="L455">
        <v>202</v>
      </c>
      <c r="M455">
        <v>0</v>
      </c>
      <c r="N45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5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55" s="5" t="s">
        <v>1886</v>
      </c>
      <c r="Q455" t="str">
        <f>IF(OR(digital_banking_transactions3[[#This Row],[Nominal_Bersih]]&lt;0,digital_banking_transactions3[[#This Row],[Nominal_Bersih]]=0),"Invalid","Valid")</f>
        <v>Valid</v>
      </c>
      <c r="R45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45553</v>
      </c>
      <c r="S455" s="1" t="str">
        <f>TEXT(digital_banking_transactions3[[#This Row],[Tanggal_Bersih]],"MMMM YYYY")</f>
        <v>September 2024</v>
      </c>
      <c r="T45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5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56" spans="1:21" x14ac:dyDescent="0.35">
      <c r="A456" s="1" t="s">
        <v>1887</v>
      </c>
      <c r="B456" s="1" t="s">
        <v>1888</v>
      </c>
      <c r="C456" s="1" t="s">
        <v>1889</v>
      </c>
      <c r="D456" s="1" t="s">
        <v>75</v>
      </c>
      <c r="E456" s="1" t="s">
        <v>94</v>
      </c>
      <c r="F456" s="1" t="s">
        <v>1890</v>
      </c>
      <c r="G456" s="1" t="s">
        <v>264</v>
      </c>
      <c r="H456" s="1" t="s">
        <v>35</v>
      </c>
      <c r="I456" s="1" t="s">
        <v>21</v>
      </c>
      <c r="J456" s="1" t="s">
        <v>121</v>
      </c>
      <c r="K456">
        <v>1500</v>
      </c>
      <c r="L456">
        <v>2900</v>
      </c>
      <c r="M456">
        <v>0</v>
      </c>
      <c r="N45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5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56" s="5" t="s">
        <v>1890</v>
      </c>
      <c r="Q456" t="str">
        <f>IF(OR(digital_banking_transactions3[[#This Row],[Nominal_Bersih]]&lt;0,digital_banking_transactions3[[#This Row],[Nominal_Bersih]]=0),"Invalid","Valid")</f>
        <v>Valid</v>
      </c>
      <c r="R45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45457</v>
      </c>
      <c r="S456" s="1" t="str">
        <f>TEXT(digital_banking_transactions3[[#This Row],[Tanggal_Bersih]],"MMMM YYYY")</f>
        <v>June 2024</v>
      </c>
      <c r="T45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5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57" spans="1:21" x14ac:dyDescent="0.35">
      <c r="A457" s="1" t="s">
        <v>1891</v>
      </c>
      <c r="B457" s="1" t="s">
        <v>1892</v>
      </c>
      <c r="C457" s="1" t="s">
        <v>1893</v>
      </c>
      <c r="D457" s="1" t="s">
        <v>16</v>
      </c>
      <c r="E457" s="1" t="s">
        <v>52</v>
      </c>
      <c r="F457" s="1" t="s">
        <v>1894</v>
      </c>
      <c r="G457" s="1" t="s">
        <v>126</v>
      </c>
      <c r="H457" s="1" t="s">
        <v>35</v>
      </c>
      <c r="I457" s="1" t="s">
        <v>21</v>
      </c>
      <c r="J457" s="1" t="s">
        <v>21</v>
      </c>
      <c r="K457">
        <v>6500</v>
      </c>
      <c r="L457">
        <v>3212</v>
      </c>
      <c r="M457">
        <v>0</v>
      </c>
      <c r="N45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5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57" s="5" t="s">
        <v>1894</v>
      </c>
      <c r="Q457" t="str">
        <f>IF(OR(digital_banking_transactions3[[#This Row],[Nominal_Bersih]]&lt;0,digital_banking_transactions3[[#This Row],[Nominal_Bersih]]=0),"Invalid","Valid")</f>
        <v>Valid</v>
      </c>
      <c r="R45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45623</v>
      </c>
      <c r="S457" s="1" t="str">
        <f>TEXT(digital_banking_transactions3[[#This Row],[Tanggal_Bersih]],"MMMM YYYY")</f>
        <v>November 2024</v>
      </c>
      <c r="T45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5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58" spans="1:21" x14ac:dyDescent="0.35">
      <c r="A458" s="1" t="s">
        <v>1895</v>
      </c>
      <c r="B458" s="1" t="s">
        <v>1896</v>
      </c>
      <c r="C458" s="1" t="s">
        <v>1897</v>
      </c>
      <c r="D458" s="1" t="s">
        <v>135</v>
      </c>
      <c r="E458" s="1" t="s">
        <v>94</v>
      </c>
      <c r="F458" s="4">
        <v>174828</v>
      </c>
      <c r="G458" s="1" t="s">
        <v>126</v>
      </c>
      <c r="H458" s="1" t="s">
        <v>77</v>
      </c>
      <c r="I458" s="1" t="s">
        <v>21</v>
      </c>
      <c r="J458" s="1" t="s">
        <v>79</v>
      </c>
      <c r="K458">
        <v>1500</v>
      </c>
      <c r="L458">
        <v>806</v>
      </c>
      <c r="M458">
        <v>0</v>
      </c>
      <c r="N45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5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58" s="5">
        <v>174828</v>
      </c>
      <c r="Q458" t="str">
        <f>IF(OR(digital_banking_transactions3[[#This Row],[Nominal_Bersih]]&lt;0,digital_banking_transactions3[[#This Row],[Nominal_Bersih]]=0),"Invalid","Valid")</f>
        <v>Valid</v>
      </c>
      <c r="R45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45482</v>
      </c>
      <c r="S458" s="1" t="str">
        <f>TEXT(digital_banking_transactions3[[#This Row],[Tanggal_Bersih]],"MMMM YYYY")</f>
        <v>July 2024</v>
      </c>
      <c r="T45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5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59" spans="1:21" x14ac:dyDescent="0.35">
      <c r="A459" s="1" t="s">
        <v>1899</v>
      </c>
      <c r="B459" s="1" t="s">
        <v>1900</v>
      </c>
      <c r="C459" s="1" t="s">
        <v>1901</v>
      </c>
      <c r="D459" s="1" t="s">
        <v>167</v>
      </c>
      <c r="E459" s="1" t="s">
        <v>32</v>
      </c>
      <c r="F459" s="4">
        <v>4354412</v>
      </c>
      <c r="G459" s="1" t="s">
        <v>41</v>
      </c>
      <c r="H459" s="1" t="s">
        <v>77</v>
      </c>
      <c r="I459" s="1" t="s">
        <v>21</v>
      </c>
      <c r="J459" s="1" t="s">
        <v>21</v>
      </c>
      <c r="K459">
        <v>0</v>
      </c>
      <c r="L459">
        <v>4353</v>
      </c>
      <c r="M459">
        <v>1</v>
      </c>
      <c r="N45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5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59" s="5">
        <v>4354412</v>
      </c>
      <c r="Q459" t="str">
        <f>IF(OR(digital_banking_transactions3[[#This Row],[Nominal_Bersih]]&lt;0,digital_banking_transactions3[[#This Row],[Nominal_Bersih]]=0),"Invalid","Valid")</f>
        <v>Valid</v>
      </c>
      <c r="R45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45554</v>
      </c>
      <c r="S459" s="1" t="str">
        <f>TEXT(digital_banking_transactions3[[#This Row],[Tanggal_Bersih]],"MMMM YYYY")</f>
        <v>September 2024</v>
      </c>
      <c r="T45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5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60" spans="1:21" x14ac:dyDescent="0.35">
      <c r="A460" s="1" t="s">
        <v>1903</v>
      </c>
      <c r="B460" s="1" t="s">
        <v>1904</v>
      </c>
      <c r="C460" s="1" t="s">
        <v>1905</v>
      </c>
      <c r="D460" s="1" t="s">
        <v>75</v>
      </c>
      <c r="E460" s="1" t="s">
        <v>52</v>
      </c>
      <c r="F460" s="1" t="s">
        <v>1906</v>
      </c>
      <c r="G460" s="1" t="s">
        <v>89</v>
      </c>
      <c r="H460" s="1" t="s">
        <v>77</v>
      </c>
      <c r="I460" s="1" t="s">
        <v>112</v>
      </c>
      <c r="J460" s="1" t="s">
        <v>71</v>
      </c>
      <c r="K460">
        <v>6500</v>
      </c>
      <c r="L460">
        <v>4096</v>
      </c>
      <c r="M460">
        <v>0</v>
      </c>
      <c r="N46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6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60" s="5" t="s">
        <v>1906</v>
      </c>
      <c r="Q460" t="str">
        <f>IF(OR(digital_banking_transactions3[[#This Row],[Nominal_Bersih]]&lt;0,digital_banking_transactions3[[#This Row],[Nominal_Bersih]]=0),"Invalid","Valid")</f>
        <v>Valid</v>
      </c>
      <c r="R46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45395</v>
      </c>
      <c r="S460" s="1" t="str">
        <f>TEXT(digital_banking_transactions3[[#This Row],[Tanggal_Bersih]],"MMMM YYYY")</f>
        <v>April 2024</v>
      </c>
      <c r="T46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6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61" spans="1:21" x14ac:dyDescent="0.35">
      <c r="A461" s="1" t="s">
        <v>1907</v>
      </c>
      <c r="B461" s="1" t="s">
        <v>1908</v>
      </c>
      <c r="C461" s="1" t="s">
        <v>1909</v>
      </c>
      <c r="D461" s="1" t="s">
        <v>75</v>
      </c>
      <c r="E461" s="1" t="s">
        <v>17</v>
      </c>
      <c r="F461" s="1" t="s">
        <v>1910</v>
      </c>
      <c r="G461" s="1" t="s">
        <v>137</v>
      </c>
      <c r="H461" s="1" t="s">
        <v>35</v>
      </c>
      <c r="I461" s="1" t="s">
        <v>21</v>
      </c>
      <c r="J461" s="1" t="s">
        <v>71</v>
      </c>
      <c r="K461">
        <v>2500</v>
      </c>
      <c r="L461">
        <v>2756</v>
      </c>
      <c r="M461">
        <v>1</v>
      </c>
      <c r="N46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6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61" s="5" t="s">
        <v>1910</v>
      </c>
      <c r="Q461" t="str">
        <f>IF(OR(digital_banking_transactions3[[#This Row],[Nominal_Bersih]]&lt;0,digital_banking_transactions3[[#This Row],[Nominal_Bersih]]=0),"Invalid","Valid")</f>
        <v>Valid</v>
      </c>
      <c r="R46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45333</v>
      </c>
      <c r="S461" s="1" t="str">
        <f>TEXT(digital_banking_transactions3[[#This Row],[Tanggal_Bersih]],"MMMM YYYY")</f>
        <v>February 2024</v>
      </c>
      <c r="T46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6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62" spans="1:21" x14ac:dyDescent="0.35">
      <c r="A462" s="1" t="s">
        <v>1911</v>
      </c>
      <c r="B462" s="1" t="s">
        <v>1912</v>
      </c>
      <c r="C462" s="1" t="s">
        <v>1913</v>
      </c>
      <c r="D462" s="1" t="s">
        <v>16</v>
      </c>
      <c r="E462" s="1" t="s">
        <v>39</v>
      </c>
      <c r="F462" s="1" t="s">
        <v>1914</v>
      </c>
      <c r="G462" s="1" t="s">
        <v>89</v>
      </c>
      <c r="H462" s="1" t="s">
        <v>106</v>
      </c>
      <c r="I462" s="1" t="s">
        <v>21</v>
      </c>
      <c r="J462" s="1" t="s">
        <v>21</v>
      </c>
      <c r="K462">
        <v>7500</v>
      </c>
      <c r="L462">
        <v>3138</v>
      </c>
      <c r="M462">
        <v>0</v>
      </c>
      <c r="N46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6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62" s="5" t="s">
        <v>1914</v>
      </c>
      <c r="Q462" t="str">
        <f>IF(OR(digital_banking_transactions3[[#This Row],[Nominal_Bersih]]&lt;0,digital_banking_transactions3[[#This Row],[Nominal_Bersih]]=0),"Invalid","Valid")</f>
        <v>Valid</v>
      </c>
      <c r="R46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45607</v>
      </c>
      <c r="S462" s="1" t="str">
        <f>TEXT(digital_banking_transactions3[[#This Row],[Tanggal_Bersih]],"MMMM YYYY")</f>
        <v>November 2024</v>
      </c>
      <c r="T46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6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63" spans="1:21" x14ac:dyDescent="0.35">
      <c r="A463" s="1" t="s">
        <v>1915</v>
      </c>
      <c r="B463" s="1" t="s">
        <v>1916</v>
      </c>
      <c r="C463" s="1" t="s">
        <v>1917</v>
      </c>
      <c r="D463" s="1" t="s">
        <v>75</v>
      </c>
      <c r="E463" s="1" t="s">
        <v>94</v>
      </c>
      <c r="F463" s="1" t="s">
        <v>1918</v>
      </c>
      <c r="G463" s="1" t="s">
        <v>264</v>
      </c>
      <c r="H463" s="1" t="s">
        <v>106</v>
      </c>
      <c r="I463" s="1" t="s">
        <v>21</v>
      </c>
      <c r="J463" s="1" t="s">
        <v>208</v>
      </c>
      <c r="K463">
        <v>1500</v>
      </c>
      <c r="L463">
        <v>3097</v>
      </c>
      <c r="M463">
        <v>0</v>
      </c>
      <c r="N46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6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63" s="5" t="s">
        <v>1918</v>
      </c>
      <c r="Q463" t="str">
        <f>IF(OR(digital_banking_transactions3[[#This Row],[Nominal_Bersih]]&lt;0,digital_banking_transactions3[[#This Row],[Nominal_Bersih]]=0),"Invalid","Valid")</f>
        <v>Valid</v>
      </c>
      <c r="R46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45343</v>
      </c>
      <c r="S463" s="1" t="str">
        <f>TEXT(digital_banking_transactions3[[#This Row],[Tanggal_Bersih]],"MMMM YYYY")</f>
        <v>February 2024</v>
      </c>
      <c r="T46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6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64" spans="1:21" x14ac:dyDescent="0.35">
      <c r="A464" s="1" t="s">
        <v>1919</v>
      </c>
      <c r="B464" s="1" t="s">
        <v>1920</v>
      </c>
      <c r="C464" s="1" t="s">
        <v>1921</v>
      </c>
      <c r="D464" s="1" t="s">
        <v>75</v>
      </c>
      <c r="E464" s="1" t="s">
        <v>39</v>
      </c>
      <c r="F464" s="1">
        <v>174152600</v>
      </c>
      <c r="G464" s="1" t="s">
        <v>41</v>
      </c>
      <c r="H464" s="1" t="s">
        <v>77</v>
      </c>
      <c r="I464" s="1" t="s">
        <v>21</v>
      </c>
      <c r="J464" s="1" t="s">
        <v>79</v>
      </c>
      <c r="K464">
        <v>7500</v>
      </c>
      <c r="L464">
        <v>878</v>
      </c>
      <c r="M464">
        <v>0</v>
      </c>
      <c r="N46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6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64" s="5">
        <v>174152600</v>
      </c>
      <c r="Q464" t="str">
        <f>IF(OR(digital_banking_transactions3[[#This Row],[Nominal_Bersih]]&lt;0,digital_banking_transactions3[[#This Row],[Nominal_Bersih]]=0),"Invalid","Valid")</f>
        <v>Valid</v>
      </c>
      <c r="R46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45649</v>
      </c>
      <c r="S464" s="1" t="str">
        <f>TEXT(digital_banking_transactions3[[#This Row],[Tanggal_Bersih]],"MMMM YYYY")</f>
        <v>December 2024</v>
      </c>
      <c r="T46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6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65" spans="1:21" x14ac:dyDescent="0.35">
      <c r="A465" s="1" t="s">
        <v>1923</v>
      </c>
      <c r="B465" s="1" t="s">
        <v>1924</v>
      </c>
      <c r="C465" s="1" t="s">
        <v>1925</v>
      </c>
      <c r="D465" s="1" t="s">
        <v>75</v>
      </c>
      <c r="E465" s="1" t="s">
        <v>52</v>
      </c>
      <c r="F465" s="1" t="s">
        <v>1926</v>
      </c>
      <c r="G465" s="1" t="s">
        <v>65</v>
      </c>
      <c r="H465" s="1" t="s">
        <v>96</v>
      </c>
      <c r="I465" s="1" t="s">
        <v>138</v>
      </c>
      <c r="J465" s="1" t="s">
        <v>21</v>
      </c>
      <c r="K465">
        <v>6500</v>
      </c>
      <c r="L465">
        <v>3924</v>
      </c>
      <c r="M465">
        <v>0</v>
      </c>
      <c r="N46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6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65" s="5" t="s">
        <v>1926</v>
      </c>
      <c r="Q465" t="str">
        <f>IF(OR(digital_banking_transactions3[[#This Row],[Nominal_Bersih]]&lt;0,digital_banking_transactions3[[#This Row],[Nominal_Bersih]]=0),"Invalid","Valid")</f>
        <v>Valid</v>
      </c>
      <c r="R46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45365</v>
      </c>
      <c r="S465" s="1" t="str">
        <f>TEXT(digital_banking_transactions3[[#This Row],[Tanggal_Bersih]],"MMMM YYYY")</f>
        <v>March 2024</v>
      </c>
      <c r="T46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6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66" spans="1:21" x14ac:dyDescent="0.35">
      <c r="A466" s="1" t="s">
        <v>1927</v>
      </c>
      <c r="B466" s="1" t="s">
        <v>1928</v>
      </c>
      <c r="C466" s="1" t="s">
        <v>1929</v>
      </c>
      <c r="D466" s="1" t="s">
        <v>25</v>
      </c>
      <c r="E466" s="1" t="s">
        <v>94</v>
      </c>
      <c r="F466" s="1">
        <v>4704619200</v>
      </c>
      <c r="G466" s="1" t="s">
        <v>27</v>
      </c>
      <c r="H466" s="1" t="s">
        <v>60</v>
      </c>
      <c r="I466" s="1" t="s">
        <v>21</v>
      </c>
      <c r="J466" s="1" t="s">
        <v>21</v>
      </c>
      <c r="K466">
        <v>1500</v>
      </c>
      <c r="L466">
        <v>2301</v>
      </c>
      <c r="M466">
        <v>0</v>
      </c>
      <c r="N46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6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66" s="5">
        <v>4704619200</v>
      </c>
      <c r="Q466" t="str">
        <f>IF(OR(digital_banking_transactions3[[#This Row],[Nominal_Bersih]]&lt;0,digital_banking_transactions3[[#This Row],[Nominal_Bersih]]=0),"Invalid","Valid")</f>
        <v>Valid</v>
      </c>
      <c r="R46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45297</v>
      </c>
      <c r="S466" s="1" t="str">
        <f>TEXT(digital_banking_transactions3[[#This Row],[Tanggal_Bersih]],"MMMM YYYY")</f>
        <v>January 2024</v>
      </c>
      <c r="T46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6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67" spans="1:21" x14ac:dyDescent="0.35">
      <c r="A467" s="1" t="s">
        <v>1931</v>
      </c>
      <c r="B467" s="1" t="s">
        <v>1932</v>
      </c>
      <c r="C467" s="1" t="s">
        <v>1933</v>
      </c>
      <c r="D467" s="1" t="s">
        <v>75</v>
      </c>
      <c r="E467" s="1" t="s">
        <v>17</v>
      </c>
      <c r="F467" s="1" t="s">
        <v>1934</v>
      </c>
      <c r="G467" s="1" t="s">
        <v>105</v>
      </c>
      <c r="H467" s="1" t="s">
        <v>42</v>
      </c>
      <c r="I467" s="1" t="s">
        <v>21</v>
      </c>
      <c r="J467" s="1" t="s">
        <v>71</v>
      </c>
      <c r="K467">
        <v>2500</v>
      </c>
      <c r="L467">
        <v>3276</v>
      </c>
      <c r="M467">
        <v>0</v>
      </c>
      <c r="N46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6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67" s="5" t="s">
        <v>1934</v>
      </c>
      <c r="Q467" t="str">
        <f>IF(OR(digital_banking_transactions3[[#This Row],[Nominal_Bersih]]&lt;0,digital_banking_transactions3[[#This Row],[Nominal_Bersih]]=0),"Invalid","Valid")</f>
        <v>Valid</v>
      </c>
      <c r="R46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45524</v>
      </c>
      <c r="S467" s="1" t="str">
        <f>TEXT(digital_banking_transactions3[[#This Row],[Tanggal_Bersih]],"MMMM YYYY")</f>
        <v>August 2024</v>
      </c>
      <c r="T46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6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68" spans="1:21" x14ac:dyDescent="0.35">
      <c r="A468" s="1" t="s">
        <v>1935</v>
      </c>
      <c r="B468" s="1" t="s">
        <v>1936</v>
      </c>
      <c r="C468" s="1" t="s">
        <v>1937</v>
      </c>
      <c r="D468" s="1" t="s">
        <v>25</v>
      </c>
      <c r="E468" s="1" t="s">
        <v>32</v>
      </c>
      <c r="F468" s="1" t="s">
        <v>1938</v>
      </c>
      <c r="G468" s="1" t="s">
        <v>65</v>
      </c>
      <c r="H468" s="1" t="s">
        <v>42</v>
      </c>
      <c r="I468" s="1" t="s">
        <v>21</v>
      </c>
      <c r="J468" s="1" t="s">
        <v>71</v>
      </c>
      <c r="K468">
        <v>0</v>
      </c>
      <c r="L468">
        <v>726</v>
      </c>
      <c r="M468">
        <v>0</v>
      </c>
      <c r="N46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6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68" s="5" t="s">
        <v>1938</v>
      </c>
      <c r="Q468" t="str">
        <f>IF(OR(digital_banking_transactions3[[#This Row],[Nominal_Bersih]]&lt;0,digital_banking_transactions3[[#This Row],[Nominal_Bersih]]=0),"Invalid","Valid")</f>
        <v>Valid</v>
      </c>
      <c r="R46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45380</v>
      </c>
      <c r="S468" s="1" t="str">
        <f>TEXT(digital_banking_transactions3[[#This Row],[Tanggal_Bersih]],"MMMM YYYY")</f>
        <v>March 2024</v>
      </c>
      <c r="T46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6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69" spans="1:21" x14ac:dyDescent="0.35">
      <c r="A469" s="1" t="s">
        <v>1939</v>
      </c>
      <c r="B469" s="1" t="s">
        <v>1940</v>
      </c>
      <c r="C469" s="1" t="s">
        <v>1941</v>
      </c>
      <c r="D469" s="1" t="s">
        <v>25</v>
      </c>
      <c r="E469" s="1" t="s">
        <v>52</v>
      </c>
      <c r="F469" s="1">
        <v>44565635</v>
      </c>
      <c r="G469" s="1" t="s">
        <v>485</v>
      </c>
      <c r="H469" s="1" t="s">
        <v>60</v>
      </c>
      <c r="I469" s="1" t="s">
        <v>131</v>
      </c>
      <c r="J469" s="1" t="s">
        <v>79</v>
      </c>
      <c r="K469">
        <v>6500</v>
      </c>
      <c r="L469">
        <v>2671</v>
      </c>
      <c r="M469">
        <v>0</v>
      </c>
      <c r="N46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6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69" s="5">
        <v>44565635</v>
      </c>
      <c r="Q469" t="str">
        <f>IF(OR(digital_banking_transactions3[[#This Row],[Nominal_Bersih]]&lt;0,digital_banking_transactions3[[#This Row],[Nominal_Bersih]]=0),"Invalid","Valid")</f>
        <v>Valid</v>
      </c>
      <c r="R46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45369</v>
      </c>
      <c r="S469" s="1" t="str">
        <f>TEXT(digital_banking_transactions3[[#This Row],[Tanggal_Bersih]],"MMMM YYYY")</f>
        <v>March 2024</v>
      </c>
      <c r="T46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6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70" spans="1:21" x14ac:dyDescent="0.35">
      <c r="A470" s="1" t="s">
        <v>1943</v>
      </c>
      <c r="B470" s="1" t="s">
        <v>1944</v>
      </c>
      <c r="C470" s="1" t="s">
        <v>1945</v>
      </c>
      <c r="D470" s="1" t="s">
        <v>16</v>
      </c>
      <c r="E470" s="1" t="s">
        <v>17</v>
      </c>
      <c r="F470" s="1" t="s">
        <v>1946</v>
      </c>
      <c r="G470" s="1" t="s">
        <v>65</v>
      </c>
      <c r="H470" s="1" t="s">
        <v>106</v>
      </c>
      <c r="I470" s="1" t="s">
        <v>21</v>
      </c>
      <c r="J470" s="1" t="s">
        <v>21</v>
      </c>
      <c r="K470">
        <v>2500</v>
      </c>
      <c r="L470">
        <v>2603</v>
      </c>
      <c r="M470">
        <v>0</v>
      </c>
      <c r="N47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7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70" s="5" t="s">
        <v>1946</v>
      </c>
      <c r="Q470" t="str">
        <f>IF(OR(digital_banking_transactions3[[#This Row],[Nominal_Bersih]]&lt;0,digital_banking_transactions3[[#This Row],[Nominal_Bersih]]=0),"Invalid","Valid")</f>
        <v>Valid</v>
      </c>
      <c r="R47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45326</v>
      </c>
      <c r="S470" s="1" t="str">
        <f>TEXT(digital_banking_transactions3[[#This Row],[Tanggal_Bersih]],"MMMM YYYY")</f>
        <v>February 2024</v>
      </c>
      <c r="T47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7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71" spans="1:21" x14ac:dyDescent="0.35">
      <c r="A471" s="1" t="s">
        <v>1947</v>
      </c>
      <c r="B471" s="1" t="s">
        <v>1574</v>
      </c>
      <c r="C471" s="1" t="s">
        <v>1948</v>
      </c>
      <c r="D471" s="1" t="s">
        <v>16</v>
      </c>
      <c r="E471" s="1" t="s">
        <v>52</v>
      </c>
      <c r="F471" s="1">
        <v>4268190</v>
      </c>
      <c r="G471" s="1" t="s">
        <v>126</v>
      </c>
      <c r="H471" s="1" t="s">
        <v>96</v>
      </c>
      <c r="I471" s="1" t="s">
        <v>112</v>
      </c>
      <c r="J471" s="1" t="s">
        <v>21</v>
      </c>
      <c r="K471">
        <v>6500</v>
      </c>
      <c r="L471">
        <v>3298</v>
      </c>
      <c r="M471">
        <v>0</v>
      </c>
      <c r="N47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7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71" s="5">
        <v>4268190</v>
      </c>
      <c r="Q471" t="str">
        <f>IF(OR(digital_banking_transactions3[[#This Row],[Nominal_Bersih]]&lt;0,digital_banking_transactions3[[#This Row],[Nominal_Bersih]]=0),"Invalid","Valid")</f>
        <v>Valid</v>
      </c>
      <c r="R47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45384</v>
      </c>
      <c r="S471" s="1" t="str">
        <f>TEXT(digital_banking_transactions3[[#This Row],[Tanggal_Bersih]],"MMMM YYYY")</f>
        <v>April 2024</v>
      </c>
      <c r="T47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7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72" spans="1:21" x14ac:dyDescent="0.35">
      <c r="A472" s="1" t="s">
        <v>1950</v>
      </c>
      <c r="B472" s="1" t="s">
        <v>1951</v>
      </c>
      <c r="C472" s="1" t="s">
        <v>1952</v>
      </c>
      <c r="D472" s="1" t="s">
        <v>254</v>
      </c>
      <c r="E472" s="1" t="s">
        <v>52</v>
      </c>
      <c r="F472" s="1" t="s">
        <v>1953</v>
      </c>
      <c r="G472" s="1" t="s">
        <v>27</v>
      </c>
      <c r="H472" s="1" t="s">
        <v>60</v>
      </c>
      <c r="I472" s="1" t="s">
        <v>131</v>
      </c>
      <c r="J472" s="1" t="s">
        <v>21</v>
      </c>
      <c r="K472">
        <v>6500</v>
      </c>
      <c r="L472">
        <v>3756</v>
      </c>
      <c r="M472">
        <v>0</v>
      </c>
      <c r="N47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7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72" s="5" t="s">
        <v>1953</v>
      </c>
      <c r="Q472" t="str">
        <f>IF(OR(digital_banking_transactions3[[#This Row],[Nominal_Bersih]]&lt;0,digital_banking_transactions3[[#This Row],[Nominal_Bersih]]=0),"Invalid","Valid")</f>
        <v>Valid</v>
      </c>
      <c r="R47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45587</v>
      </c>
      <c r="S472" s="1" t="str">
        <f>TEXT(digital_banking_transactions3[[#This Row],[Tanggal_Bersih]],"MMMM YYYY")</f>
        <v>October 2024</v>
      </c>
      <c r="T47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7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73" spans="1:21" x14ac:dyDescent="0.35">
      <c r="A473" s="1" t="s">
        <v>1954</v>
      </c>
      <c r="B473" s="1" t="s">
        <v>1955</v>
      </c>
      <c r="C473" s="1" t="s">
        <v>1956</v>
      </c>
      <c r="D473" s="1" t="s">
        <v>93</v>
      </c>
      <c r="E473" s="1" t="s">
        <v>39</v>
      </c>
      <c r="F473" s="1">
        <v>22032500</v>
      </c>
      <c r="G473" s="1" t="s">
        <v>65</v>
      </c>
      <c r="H473" s="1" t="s">
        <v>77</v>
      </c>
      <c r="I473" s="1" t="s">
        <v>21</v>
      </c>
      <c r="J473" s="1" t="s">
        <v>208</v>
      </c>
      <c r="K473">
        <v>7500</v>
      </c>
      <c r="L473">
        <v>3709</v>
      </c>
      <c r="M473">
        <v>0</v>
      </c>
      <c r="N47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7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73" s="5">
        <v>22032500</v>
      </c>
      <c r="Q473" t="str">
        <f>IF(OR(digital_banking_transactions3[[#This Row],[Nominal_Bersih]]&lt;0,digital_banking_transactions3[[#This Row],[Nominal_Bersih]]=0),"Invalid","Valid")</f>
        <v>Valid</v>
      </c>
      <c r="R47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45642</v>
      </c>
      <c r="S473" s="1" t="str">
        <f>TEXT(digital_banking_transactions3[[#This Row],[Tanggal_Bersih]],"MMMM YYYY")</f>
        <v>December 2024</v>
      </c>
      <c r="T47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7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74" spans="1:21" x14ac:dyDescent="0.35">
      <c r="A474" s="1" t="s">
        <v>1958</v>
      </c>
      <c r="B474" s="1" t="s">
        <v>1959</v>
      </c>
      <c r="C474" s="1" t="s">
        <v>1960</v>
      </c>
      <c r="D474" s="1" t="s">
        <v>25</v>
      </c>
      <c r="E474" s="1" t="s">
        <v>32</v>
      </c>
      <c r="F474" s="1" t="s">
        <v>1961</v>
      </c>
      <c r="G474" s="1" t="s">
        <v>41</v>
      </c>
      <c r="H474" s="1" t="s">
        <v>54</v>
      </c>
      <c r="I474" s="1" t="s">
        <v>21</v>
      </c>
      <c r="J474" s="1" t="s">
        <v>21</v>
      </c>
      <c r="K474">
        <v>0</v>
      </c>
      <c r="L474">
        <v>1339</v>
      </c>
      <c r="M474">
        <v>0</v>
      </c>
      <c r="N47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7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74" s="5" t="s">
        <v>1961</v>
      </c>
      <c r="Q474" t="str">
        <f>IF(OR(digital_banking_transactions3[[#This Row],[Nominal_Bersih]]&lt;0,digital_banking_transactions3[[#This Row],[Nominal_Bersih]]=0),"Invalid","Valid")</f>
        <v>Valid</v>
      </c>
      <c r="R47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45442</v>
      </c>
      <c r="S474" s="1" t="str">
        <f>TEXT(digital_banking_transactions3[[#This Row],[Tanggal_Bersih]],"MMMM YYYY")</f>
        <v>May 2024</v>
      </c>
      <c r="T47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7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75" spans="1:21" x14ac:dyDescent="0.35">
      <c r="A475" s="1" t="s">
        <v>1962</v>
      </c>
      <c r="B475" s="1" t="s">
        <v>1963</v>
      </c>
      <c r="C475" s="1" t="s">
        <v>1964</v>
      </c>
      <c r="D475" s="1" t="s">
        <v>16</v>
      </c>
      <c r="E475" s="1" t="s">
        <v>32</v>
      </c>
      <c r="F475" s="1" t="s">
        <v>1965</v>
      </c>
      <c r="G475" s="1" t="s">
        <v>126</v>
      </c>
      <c r="H475" s="1" t="s">
        <v>96</v>
      </c>
      <c r="I475" s="1" t="s">
        <v>21</v>
      </c>
      <c r="J475" s="1" t="s">
        <v>21</v>
      </c>
      <c r="K475">
        <v>0</v>
      </c>
      <c r="L475">
        <v>1368</v>
      </c>
      <c r="M475">
        <v>1</v>
      </c>
      <c r="N47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7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75" s="5" t="s">
        <v>1965</v>
      </c>
      <c r="Q475" t="str">
        <f>IF(OR(digital_banking_transactions3[[#This Row],[Nominal_Bersih]]&lt;0,digital_banking_transactions3[[#This Row],[Nominal_Bersih]]=0),"Invalid","Valid")</f>
        <v>Valid</v>
      </c>
      <c r="R47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45542</v>
      </c>
      <c r="S475" s="1" t="str">
        <f>TEXT(digital_banking_transactions3[[#This Row],[Tanggal_Bersih]],"MMMM YYYY")</f>
        <v>September 2024</v>
      </c>
      <c r="T47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7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76" spans="1:21" x14ac:dyDescent="0.35">
      <c r="A476" s="1" t="s">
        <v>1967</v>
      </c>
      <c r="B476" s="1" t="s">
        <v>1968</v>
      </c>
      <c r="C476" s="1" t="s">
        <v>1969</v>
      </c>
      <c r="D476" s="1" t="s">
        <v>75</v>
      </c>
      <c r="E476" s="1" t="s">
        <v>32</v>
      </c>
      <c r="F476" s="1">
        <v>8461541</v>
      </c>
      <c r="G476" s="1" t="s">
        <v>89</v>
      </c>
      <c r="H476" s="1" t="s">
        <v>106</v>
      </c>
      <c r="I476" s="1" t="s">
        <v>21</v>
      </c>
      <c r="J476" s="1" t="s">
        <v>226</v>
      </c>
      <c r="K476">
        <v>0</v>
      </c>
      <c r="L476">
        <v>3411</v>
      </c>
      <c r="M476">
        <v>0</v>
      </c>
      <c r="N47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7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76" s="5">
        <v>8461541</v>
      </c>
      <c r="Q476" t="str">
        <f>IF(OR(digital_banking_transactions3[[#This Row],[Nominal_Bersih]]&lt;0,digital_banking_transactions3[[#This Row],[Nominal_Bersih]]=0),"Invalid","Valid")</f>
        <v>Valid</v>
      </c>
      <c r="R47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45379</v>
      </c>
      <c r="S476" s="1" t="str">
        <f>TEXT(digital_banking_transactions3[[#This Row],[Tanggal_Bersih]],"MMMM YYYY")</f>
        <v>March 2024</v>
      </c>
      <c r="T47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7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77" spans="1:21" x14ac:dyDescent="0.35">
      <c r="A477" s="1" t="s">
        <v>1971</v>
      </c>
      <c r="B477" s="1" t="s">
        <v>1972</v>
      </c>
      <c r="C477" s="1" t="s">
        <v>1973</v>
      </c>
      <c r="D477" s="1" t="s">
        <v>58</v>
      </c>
      <c r="E477" s="1" t="s">
        <v>52</v>
      </c>
      <c r="F477" s="1" t="s">
        <v>1974</v>
      </c>
      <c r="G477" s="1" t="s">
        <v>41</v>
      </c>
      <c r="H477" s="1" t="s">
        <v>54</v>
      </c>
      <c r="I477" s="1" t="s">
        <v>112</v>
      </c>
      <c r="J477" s="1" t="s">
        <v>21</v>
      </c>
      <c r="K477">
        <v>6500</v>
      </c>
      <c r="L477">
        <v>2322</v>
      </c>
      <c r="M477">
        <v>0</v>
      </c>
      <c r="N47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7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77" s="5" t="s">
        <v>1974</v>
      </c>
      <c r="Q477" t="str">
        <f>IF(OR(digital_banking_transactions3[[#This Row],[Nominal_Bersih]]&lt;0,digital_banking_transactions3[[#This Row],[Nominal_Bersih]]=0),"Invalid","Valid")</f>
        <v>Valid</v>
      </c>
      <c r="R47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45423</v>
      </c>
      <c r="S477" s="1" t="str">
        <f>TEXT(digital_banking_transactions3[[#This Row],[Tanggal_Bersih]],"MMMM YYYY")</f>
        <v>May 2024</v>
      </c>
      <c r="T47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7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78" spans="1:21" x14ac:dyDescent="0.35">
      <c r="A478" s="1" t="s">
        <v>1975</v>
      </c>
      <c r="B478" s="1" t="s">
        <v>1976</v>
      </c>
      <c r="C478" s="1" t="s">
        <v>1977</v>
      </c>
      <c r="D478" s="1" t="s">
        <v>58</v>
      </c>
      <c r="E478" s="1" t="s">
        <v>39</v>
      </c>
      <c r="F478" s="1" t="s">
        <v>1978</v>
      </c>
      <c r="G478" s="1" t="s">
        <v>195</v>
      </c>
      <c r="H478" s="1" t="s">
        <v>42</v>
      </c>
      <c r="I478" s="1" t="s">
        <v>21</v>
      </c>
      <c r="J478" s="1" t="s">
        <v>21</v>
      </c>
      <c r="K478">
        <v>7500</v>
      </c>
      <c r="L478">
        <v>4257</v>
      </c>
      <c r="M478">
        <v>0</v>
      </c>
      <c r="N47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7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78" s="5" t="s">
        <v>1978</v>
      </c>
      <c r="Q478" t="str">
        <f>IF(OR(digital_banking_transactions3[[#This Row],[Nominal_Bersih]]&lt;0,digital_banking_transactions3[[#This Row],[Nominal_Bersih]]=0),"Invalid","Valid")</f>
        <v>Valid</v>
      </c>
      <c r="R47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45480</v>
      </c>
      <c r="S478" s="1" t="str">
        <f>TEXT(digital_banking_transactions3[[#This Row],[Tanggal_Bersih]],"MMMM YYYY")</f>
        <v>July 2024</v>
      </c>
      <c r="T47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7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79" spans="1:21" x14ac:dyDescent="0.35">
      <c r="A479" s="1" t="s">
        <v>1979</v>
      </c>
      <c r="B479" s="1" t="s">
        <v>1980</v>
      </c>
      <c r="C479" s="1" t="s">
        <v>1981</v>
      </c>
      <c r="D479" s="1" t="s">
        <v>16</v>
      </c>
      <c r="E479" s="1" t="s">
        <v>32</v>
      </c>
      <c r="F479" s="1">
        <v>4539926</v>
      </c>
      <c r="G479" s="1" t="s">
        <v>126</v>
      </c>
      <c r="H479" s="1" t="s">
        <v>77</v>
      </c>
      <c r="I479" s="1" t="s">
        <v>21</v>
      </c>
      <c r="J479" s="1" t="s">
        <v>21</v>
      </c>
      <c r="L479">
        <v>741</v>
      </c>
      <c r="M479">
        <v>1</v>
      </c>
      <c r="N47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7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79" s="5">
        <v>4539926</v>
      </c>
      <c r="Q479" t="str">
        <f>IF(OR(digital_banking_transactions3[[#This Row],[Nominal_Bersih]]&lt;0,digital_banking_transactions3[[#This Row],[Nominal_Bersih]]=0),"Invalid","Valid")</f>
        <v>Valid</v>
      </c>
      <c r="R47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45356</v>
      </c>
      <c r="S479" s="1" t="str">
        <f>TEXT(digital_banking_transactions3[[#This Row],[Tanggal_Bersih]],"MMMM YYYY")</f>
        <v>March 2024</v>
      </c>
      <c r="T47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7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80" spans="1:21" x14ac:dyDescent="0.35">
      <c r="A480" s="1" t="s">
        <v>1983</v>
      </c>
      <c r="B480" s="1" t="s">
        <v>1984</v>
      </c>
      <c r="C480" s="1" t="s">
        <v>1985</v>
      </c>
      <c r="D480" s="1" t="s">
        <v>25</v>
      </c>
      <c r="E480" s="1" t="s">
        <v>94</v>
      </c>
      <c r="F480" s="1" t="s">
        <v>1986</v>
      </c>
      <c r="G480" s="1" t="s">
        <v>485</v>
      </c>
      <c r="H480" s="1" t="s">
        <v>96</v>
      </c>
      <c r="I480" s="1" t="s">
        <v>21</v>
      </c>
      <c r="J480" s="1" t="s">
        <v>21</v>
      </c>
      <c r="K480">
        <v>1500</v>
      </c>
      <c r="L480">
        <v>1096</v>
      </c>
      <c r="M480">
        <v>0</v>
      </c>
      <c r="N48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8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80" s="5" t="s">
        <v>1986</v>
      </c>
      <c r="Q480" t="str">
        <f>IF(OR(digital_banking_transactions3[[#This Row],[Nominal_Bersih]]&lt;0,digital_banking_transactions3[[#This Row],[Nominal_Bersih]]=0),"Invalid","Valid")</f>
        <v>Valid</v>
      </c>
      <c r="R48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45425</v>
      </c>
      <c r="S480" s="1" t="str">
        <f>TEXT(digital_banking_transactions3[[#This Row],[Tanggal_Bersih]],"MMMM YYYY")</f>
        <v>May 2024</v>
      </c>
      <c r="T48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8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81" spans="1:21" x14ac:dyDescent="0.35">
      <c r="A481" s="1" t="s">
        <v>1987</v>
      </c>
      <c r="B481" s="1" t="s">
        <v>1988</v>
      </c>
      <c r="C481" s="1" t="s">
        <v>1989</v>
      </c>
      <c r="D481" s="1" t="s">
        <v>58</v>
      </c>
      <c r="E481" s="1" t="s">
        <v>52</v>
      </c>
      <c r="F481" s="1" t="s">
        <v>1990</v>
      </c>
      <c r="G481" s="1" t="s">
        <v>27</v>
      </c>
      <c r="H481" s="1" t="s">
        <v>54</v>
      </c>
      <c r="I481" s="1" t="s">
        <v>138</v>
      </c>
      <c r="J481" s="1" t="s">
        <v>21</v>
      </c>
      <c r="K481">
        <v>6500</v>
      </c>
      <c r="L481">
        <v>4957</v>
      </c>
      <c r="M481">
        <v>0</v>
      </c>
      <c r="N48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8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81" s="5" t="s">
        <v>1990</v>
      </c>
      <c r="Q481" t="str">
        <f>IF(OR(digital_banking_transactions3[[#This Row],[Nominal_Bersih]]&lt;0,digital_banking_transactions3[[#This Row],[Nominal_Bersih]]=0),"Invalid","Valid")</f>
        <v>Valid</v>
      </c>
      <c r="R48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45647</v>
      </c>
      <c r="S481" s="1" t="str">
        <f>TEXT(digital_banking_transactions3[[#This Row],[Tanggal_Bersih]],"MMMM YYYY")</f>
        <v>December 2024</v>
      </c>
      <c r="T48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8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82" spans="1:21" x14ac:dyDescent="0.35">
      <c r="A482" s="1" t="s">
        <v>1991</v>
      </c>
      <c r="B482" s="1" t="s">
        <v>1992</v>
      </c>
      <c r="C482" s="1" t="s">
        <v>1993</v>
      </c>
      <c r="D482" s="1" t="s">
        <v>25</v>
      </c>
      <c r="E482" s="1" t="s">
        <v>32</v>
      </c>
      <c r="F482" s="1" t="s">
        <v>1994</v>
      </c>
      <c r="G482" s="1" t="s">
        <v>195</v>
      </c>
      <c r="H482" s="1" t="s">
        <v>60</v>
      </c>
      <c r="I482" s="1" t="s">
        <v>21</v>
      </c>
      <c r="J482" s="1" t="s">
        <v>226</v>
      </c>
      <c r="K482">
        <v>0</v>
      </c>
      <c r="L482">
        <v>4952</v>
      </c>
      <c r="M482">
        <v>0</v>
      </c>
      <c r="N48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8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82" s="5" t="s">
        <v>1994</v>
      </c>
      <c r="Q482" t="str">
        <f>IF(OR(digital_banking_transactions3[[#This Row],[Nominal_Bersih]]&lt;0,digital_banking_transactions3[[#This Row],[Nominal_Bersih]]=0),"Invalid","Valid")</f>
        <v>Valid</v>
      </c>
      <c r="R48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45398</v>
      </c>
      <c r="S482" s="1" t="str">
        <f>TEXT(digital_banking_transactions3[[#This Row],[Tanggal_Bersih]],"MMMM YYYY")</f>
        <v>April 2024</v>
      </c>
      <c r="T48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8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83" spans="1:21" x14ac:dyDescent="0.35">
      <c r="A483" s="1" t="s">
        <v>1995</v>
      </c>
      <c r="B483" s="1" t="s">
        <v>1996</v>
      </c>
      <c r="C483" s="1" t="s">
        <v>1997</v>
      </c>
      <c r="D483" s="1" t="s">
        <v>58</v>
      </c>
      <c r="E483" s="1" t="s">
        <v>17</v>
      </c>
      <c r="F483" s="1" t="s">
        <v>1998</v>
      </c>
      <c r="G483" s="1" t="s">
        <v>381</v>
      </c>
      <c r="H483" s="1" t="s">
        <v>106</v>
      </c>
      <c r="I483" s="1" t="s">
        <v>21</v>
      </c>
      <c r="J483" s="1" t="s">
        <v>21</v>
      </c>
      <c r="K483">
        <v>2500</v>
      </c>
      <c r="L483">
        <v>3341</v>
      </c>
      <c r="M483">
        <v>0</v>
      </c>
      <c r="N48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8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83" s="5" t="s">
        <v>1998</v>
      </c>
      <c r="Q483" t="str">
        <f>IF(OR(digital_banking_transactions3[[#This Row],[Nominal_Bersih]]&lt;0,digital_banking_transactions3[[#This Row],[Nominal_Bersih]]=0),"Invalid","Valid")</f>
        <v>Valid</v>
      </c>
      <c r="R48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45436</v>
      </c>
      <c r="S483" s="1" t="str">
        <f>TEXT(digital_banking_transactions3[[#This Row],[Tanggal_Bersih]],"MMMM YYYY")</f>
        <v>May 2024</v>
      </c>
      <c r="T48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8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84" spans="1:21" x14ac:dyDescent="0.35">
      <c r="A484" s="1" t="s">
        <v>1999</v>
      </c>
      <c r="B484" s="1" t="s">
        <v>2000</v>
      </c>
      <c r="C484" s="1" t="s">
        <v>2001</v>
      </c>
      <c r="D484" s="1" t="s">
        <v>167</v>
      </c>
      <c r="E484" s="1" t="s">
        <v>94</v>
      </c>
      <c r="F484" s="1">
        <v>209835</v>
      </c>
      <c r="G484" s="1" t="s">
        <v>105</v>
      </c>
      <c r="H484" s="1" t="s">
        <v>77</v>
      </c>
      <c r="I484" s="1" t="s">
        <v>21</v>
      </c>
      <c r="J484" s="1" t="s">
        <v>21</v>
      </c>
      <c r="K484">
        <v>1500</v>
      </c>
      <c r="L484">
        <v>3785</v>
      </c>
      <c r="M484">
        <v>0</v>
      </c>
      <c r="N48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8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84" s="5">
        <v>209835</v>
      </c>
      <c r="Q484" t="str">
        <f>IF(OR(digital_banking_transactions3[[#This Row],[Nominal_Bersih]]&lt;0,digital_banking_transactions3[[#This Row],[Nominal_Bersih]]=0),"Invalid","Valid")</f>
        <v>Valid</v>
      </c>
      <c r="R48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45398</v>
      </c>
      <c r="S484" s="1" t="str">
        <f>TEXT(digital_banking_transactions3[[#This Row],[Tanggal_Bersih]],"MMMM YYYY")</f>
        <v>April 2024</v>
      </c>
      <c r="T48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8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85" spans="1:21" x14ac:dyDescent="0.35">
      <c r="A485" s="1" t="s">
        <v>2003</v>
      </c>
      <c r="B485" s="1" t="s">
        <v>2004</v>
      </c>
      <c r="C485" s="1" t="s">
        <v>2005</v>
      </c>
      <c r="D485" s="1" t="s">
        <v>75</v>
      </c>
      <c r="E485" s="1" t="s">
        <v>39</v>
      </c>
      <c r="F485" s="4">
        <v>29911622</v>
      </c>
      <c r="G485" s="1" t="s">
        <v>48</v>
      </c>
      <c r="H485" s="1" t="s">
        <v>106</v>
      </c>
      <c r="I485" s="1" t="s">
        <v>21</v>
      </c>
      <c r="J485" s="1" t="s">
        <v>21</v>
      </c>
      <c r="K485">
        <v>7500</v>
      </c>
      <c r="L485">
        <v>2018</v>
      </c>
      <c r="M485">
        <v>0</v>
      </c>
      <c r="N48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8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85" s="5">
        <v>29911622</v>
      </c>
      <c r="Q485" t="str">
        <f>IF(OR(digital_banking_transactions3[[#This Row],[Nominal_Bersih]]&lt;0,digital_banking_transactions3[[#This Row],[Nominal_Bersih]]=0),"Invalid","Valid")</f>
        <v>Valid</v>
      </c>
      <c r="R48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45562</v>
      </c>
      <c r="S485" s="1" t="str">
        <f>TEXT(digital_banking_transactions3[[#This Row],[Tanggal_Bersih]],"MMMM YYYY")</f>
        <v>September 2024</v>
      </c>
      <c r="T48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8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86" spans="1:21" x14ac:dyDescent="0.35">
      <c r="A486" s="1" t="s">
        <v>2007</v>
      </c>
      <c r="B486" s="1" t="s">
        <v>2008</v>
      </c>
      <c r="C486" s="1" t="s">
        <v>2009</v>
      </c>
      <c r="D486" s="1" t="s">
        <v>25</v>
      </c>
      <c r="E486" s="1" t="s">
        <v>39</v>
      </c>
      <c r="F486" s="1">
        <v>48827000</v>
      </c>
      <c r="G486" s="1" t="s">
        <v>41</v>
      </c>
      <c r="H486" s="1" t="s">
        <v>54</v>
      </c>
      <c r="I486" s="1" t="s">
        <v>21</v>
      </c>
      <c r="J486" s="1" t="s">
        <v>79</v>
      </c>
      <c r="K486">
        <v>7500</v>
      </c>
      <c r="L486">
        <v>2237</v>
      </c>
      <c r="M486">
        <v>0</v>
      </c>
      <c r="N48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8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86" s="5">
        <v>48827000</v>
      </c>
      <c r="Q486" t="str">
        <f>IF(OR(digital_banking_transactions3[[#This Row],[Nominal_Bersih]]&lt;0,digital_banking_transactions3[[#This Row],[Nominal_Bersih]]=0),"Invalid","Valid")</f>
        <v>Valid</v>
      </c>
      <c r="R48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45601</v>
      </c>
      <c r="S486" s="1" t="str">
        <f>TEXT(digital_banking_transactions3[[#This Row],[Tanggal_Bersih]],"MMMM YYYY")</f>
        <v>November 2024</v>
      </c>
      <c r="T48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8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87" spans="1:21" x14ac:dyDescent="0.35">
      <c r="A487" s="1" t="s">
        <v>2011</v>
      </c>
      <c r="B487" s="1" t="s">
        <v>2012</v>
      </c>
      <c r="C487" s="1" t="s">
        <v>2013</v>
      </c>
      <c r="D487" s="1" t="s">
        <v>254</v>
      </c>
      <c r="E487" s="1" t="s">
        <v>52</v>
      </c>
      <c r="F487" s="1" t="s">
        <v>2014</v>
      </c>
      <c r="G487" s="1" t="s">
        <v>485</v>
      </c>
      <c r="H487" s="1" t="s">
        <v>106</v>
      </c>
      <c r="I487" s="1" t="s">
        <v>291</v>
      </c>
      <c r="J487" s="1" t="s">
        <v>71</v>
      </c>
      <c r="K487">
        <v>6500</v>
      </c>
      <c r="L487">
        <v>4456</v>
      </c>
      <c r="M487">
        <v>1</v>
      </c>
      <c r="N48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8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87" s="5" t="s">
        <v>2014</v>
      </c>
      <c r="Q487" t="str">
        <f>IF(OR(digital_banking_transactions3[[#This Row],[Nominal_Bersih]]&lt;0,digital_banking_transactions3[[#This Row],[Nominal_Bersih]]=0),"Invalid","Valid")</f>
        <v>Valid</v>
      </c>
      <c r="R48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45526</v>
      </c>
      <c r="S487" s="1" t="str">
        <f>TEXT(digital_banking_transactions3[[#This Row],[Tanggal_Bersih]],"MMMM YYYY")</f>
        <v>August 2024</v>
      </c>
      <c r="T48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8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88" spans="1:21" x14ac:dyDescent="0.35">
      <c r="A488" s="1" t="s">
        <v>2015</v>
      </c>
      <c r="B488" s="1" t="s">
        <v>2016</v>
      </c>
      <c r="C488" s="1" t="s">
        <v>2017</v>
      </c>
      <c r="D488" s="1" t="s">
        <v>25</v>
      </c>
      <c r="E488" s="1" t="s">
        <v>17</v>
      </c>
      <c r="F488" s="1" t="s">
        <v>2018</v>
      </c>
      <c r="G488" s="1" t="s">
        <v>41</v>
      </c>
      <c r="H488" s="1" t="s">
        <v>77</v>
      </c>
      <c r="I488" s="1" t="s">
        <v>21</v>
      </c>
      <c r="J488" s="1" t="s">
        <v>79</v>
      </c>
      <c r="K488">
        <v>2500</v>
      </c>
      <c r="L488">
        <v>3151</v>
      </c>
      <c r="M488">
        <v>0</v>
      </c>
      <c r="N48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8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88" s="5" t="s">
        <v>2018</v>
      </c>
      <c r="Q488" t="str">
        <f>IF(OR(digital_banking_transactions3[[#This Row],[Nominal_Bersih]]&lt;0,digital_banking_transactions3[[#This Row],[Nominal_Bersih]]=0),"Invalid","Valid")</f>
        <v>Valid</v>
      </c>
      <c r="R48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45545</v>
      </c>
      <c r="S488" s="1" t="str">
        <f>TEXT(digital_banking_transactions3[[#This Row],[Tanggal_Bersih]],"MMMM YYYY")</f>
        <v>September 2024</v>
      </c>
      <c r="T48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8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89" spans="1:21" x14ac:dyDescent="0.35">
      <c r="A489" s="1" t="s">
        <v>2019</v>
      </c>
      <c r="B489" s="1" t="s">
        <v>974</v>
      </c>
      <c r="C489" s="1" t="s">
        <v>2020</v>
      </c>
      <c r="D489" s="1" t="s">
        <v>25</v>
      </c>
      <c r="E489" s="1" t="s">
        <v>39</v>
      </c>
      <c r="F489" s="1">
        <v>2478077</v>
      </c>
      <c r="G489" s="1" t="s">
        <v>126</v>
      </c>
      <c r="H489" s="1" t="s">
        <v>106</v>
      </c>
      <c r="I489" s="1" t="s">
        <v>21</v>
      </c>
      <c r="J489" s="1" t="s">
        <v>21</v>
      </c>
      <c r="K489">
        <v>7500</v>
      </c>
      <c r="L489">
        <v>4574</v>
      </c>
      <c r="M489">
        <v>0</v>
      </c>
      <c r="N48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8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89" s="5">
        <v>2478077</v>
      </c>
      <c r="Q489" t="str">
        <f>IF(OR(digital_banking_transactions3[[#This Row],[Nominal_Bersih]]&lt;0,digital_banking_transactions3[[#This Row],[Nominal_Bersih]]=0),"Invalid","Valid")</f>
        <v>Valid</v>
      </c>
      <c r="R48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45522</v>
      </c>
      <c r="S489" s="1" t="str">
        <f>TEXT(digital_banking_transactions3[[#This Row],[Tanggal_Bersih]],"MMMM YYYY")</f>
        <v>August 2024</v>
      </c>
      <c r="T48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8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90" spans="1:21" x14ac:dyDescent="0.35">
      <c r="A490" s="1" t="s">
        <v>2022</v>
      </c>
      <c r="B490" s="1" t="s">
        <v>2023</v>
      </c>
      <c r="C490" s="1" t="s">
        <v>2024</v>
      </c>
      <c r="D490" s="1" t="s">
        <v>75</v>
      </c>
      <c r="E490" s="1" t="s">
        <v>32</v>
      </c>
      <c r="F490" s="1">
        <v>397322800</v>
      </c>
      <c r="G490" s="1" t="s">
        <v>65</v>
      </c>
      <c r="H490" s="1" t="s">
        <v>60</v>
      </c>
      <c r="I490" s="1" t="s">
        <v>21</v>
      </c>
      <c r="J490" s="1" t="s">
        <v>79</v>
      </c>
      <c r="K490">
        <v>0</v>
      </c>
      <c r="L490">
        <v>74946</v>
      </c>
      <c r="M490">
        <v>1</v>
      </c>
      <c r="N49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9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90" s="5">
        <v>397322800</v>
      </c>
      <c r="Q490" t="str">
        <f>IF(OR(digital_banking_transactions3[[#This Row],[Nominal_Bersih]]&lt;0,digital_banking_transactions3[[#This Row],[Nominal_Bersih]]=0),"Invalid","Valid")</f>
        <v>Valid</v>
      </c>
      <c r="R49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45292</v>
      </c>
      <c r="S490" s="1" t="str">
        <f>TEXT(digital_banking_transactions3[[#This Row],[Tanggal_Bersih]],"MMMM YYYY")</f>
        <v>January 2024</v>
      </c>
      <c r="T49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9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491" spans="1:21" x14ac:dyDescent="0.35">
      <c r="A491" s="1" t="s">
        <v>2026</v>
      </c>
      <c r="B491" s="1" t="s">
        <v>2027</v>
      </c>
      <c r="C491" s="1" t="s">
        <v>2028</v>
      </c>
      <c r="D491" s="1" t="s">
        <v>546</v>
      </c>
      <c r="E491" s="1" t="s">
        <v>39</v>
      </c>
      <c r="F491" s="1" t="s">
        <v>2029</v>
      </c>
      <c r="G491" s="1" t="s">
        <v>126</v>
      </c>
      <c r="H491" s="1" t="s">
        <v>42</v>
      </c>
      <c r="I491" s="1" t="s">
        <v>21</v>
      </c>
      <c r="J491" s="1" t="s">
        <v>79</v>
      </c>
      <c r="K491">
        <v>7500</v>
      </c>
      <c r="L491">
        <v>3300</v>
      </c>
      <c r="M491">
        <v>0</v>
      </c>
      <c r="N49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9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91" s="5" t="s">
        <v>2029</v>
      </c>
      <c r="Q491" t="str">
        <f>IF(OR(digital_banking_transactions3[[#This Row],[Nominal_Bersih]]&lt;0,digital_banking_transactions3[[#This Row],[Nominal_Bersih]]=0),"Invalid","Valid")</f>
        <v>Valid</v>
      </c>
      <c r="R49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45539</v>
      </c>
      <c r="S491" s="1" t="str">
        <f>TEXT(digital_banking_transactions3[[#This Row],[Tanggal_Bersih]],"MMMM YYYY")</f>
        <v>September 2024</v>
      </c>
      <c r="T49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9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92" spans="1:21" x14ac:dyDescent="0.35">
      <c r="A492" s="1" t="s">
        <v>2030</v>
      </c>
      <c r="B492" s="1" t="s">
        <v>2031</v>
      </c>
      <c r="C492" s="1" t="s">
        <v>2032</v>
      </c>
      <c r="D492" s="1" t="s">
        <v>75</v>
      </c>
      <c r="E492" s="1" t="s">
        <v>32</v>
      </c>
      <c r="F492" s="1" t="s">
        <v>2033</v>
      </c>
      <c r="G492" s="1" t="s">
        <v>65</v>
      </c>
      <c r="H492" s="1" t="s">
        <v>20</v>
      </c>
      <c r="I492" s="1" t="s">
        <v>21</v>
      </c>
      <c r="J492" s="1" t="s">
        <v>79</v>
      </c>
      <c r="K492">
        <v>0</v>
      </c>
      <c r="L492">
        <v>2234</v>
      </c>
      <c r="M492">
        <v>0</v>
      </c>
      <c r="N49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9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92" s="5" t="s">
        <v>2033</v>
      </c>
      <c r="Q492" t="str">
        <f>IF(OR(digital_banking_transactions3[[#This Row],[Nominal_Bersih]]&lt;0,digital_banking_transactions3[[#This Row],[Nominal_Bersih]]=0),"Invalid","Valid")</f>
        <v>Valid</v>
      </c>
      <c r="R49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45443</v>
      </c>
      <c r="S492" s="1" t="str">
        <f>TEXT(digital_banking_transactions3[[#This Row],[Tanggal_Bersih]],"MMMM YYYY")</f>
        <v>May 2024</v>
      </c>
      <c r="T49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9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93" spans="1:21" x14ac:dyDescent="0.35">
      <c r="A493" s="1" t="s">
        <v>2035</v>
      </c>
      <c r="B493" s="1" t="s">
        <v>1220</v>
      </c>
      <c r="C493" s="1" t="s">
        <v>2036</v>
      </c>
      <c r="D493" s="1" t="s">
        <v>75</v>
      </c>
      <c r="E493" s="1" t="s">
        <v>39</v>
      </c>
      <c r="F493" s="1" t="s">
        <v>2037</v>
      </c>
      <c r="G493" s="1" t="s">
        <v>105</v>
      </c>
      <c r="H493" s="1" t="s">
        <v>60</v>
      </c>
      <c r="I493" s="1" t="s">
        <v>21</v>
      </c>
      <c r="J493" s="1" t="s">
        <v>71</v>
      </c>
      <c r="K493">
        <v>7500</v>
      </c>
      <c r="L493">
        <v>3549</v>
      </c>
      <c r="M493">
        <v>0</v>
      </c>
      <c r="N49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9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93" s="5" t="s">
        <v>2037</v>
      </c>
      <c r="Q493" t="str">
        <f>IF(OR(digital_banking_transactions3[[#This Row],[Nominal_Bersih]]&lt;0,digital_banking_transactions3[[#This Row],[Nominal_Bersih]]=0),"Invalid","Valid")</f>
        <v>Valid</v>
      </c>
      <c r="R49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45359</v>
      </c>
      <c r="S493" s="1" t="str">
        <f>TEXT(digital_banking_transactions3[[#This Row],[Tanggal_Bersih]],"MMMM YYYY")</f>
        <v>March 2024</v>
      </c>
      <c r="T49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9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94" spans="1:21" x14ac:dyDescent="0.35">
      <c r="A494" s="1" t="s">
        <v>2039</v>
      </c>
      <c r="B494" s="1" t="s">
        <v>2040</v>
      </c>
      <c r="C494" s="1" t="s">
        <v>2041</v>
      </c>
      <c r="D494" s="1" t="s">
        <v>135</v>
      </c>
      <c r="E494" s="1" t="s">
        <v>17</v>
      </c>
      <c r="F494" s="1">
        <v>33067551</v>
      </c>
      <c r="G494" s="1" t="s">
        <v>65</v>
      </c>
      <c r="H494" s="1" t="s">
        <v>96</v>
      </c>
      <c r="I494" s="1" t="s">
        <v>21</v>
      </c>
      <c r="J494" s="1" t="s">
        <v>121</v>
      </c>
      <c r="K494">
        <v>2500</v>
      </c>
      <c r="L494">
        <v>278</v>
      </c>
      <c r="M494">
        <v>0</v>
      </c>
      <c r="N49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49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494" s="5">
        <v>33067551</v>
      </c>
      <c r="Q494" t="str">
        <f>IF(OR(digital_banking_transactions3[[#This Row],[Nominal_Bersih]]&lt;0,digital_banking_transactions3[[#This Row],[Nominal_Bersih]]=0),"Invalid","Valid")</f>
        <v>Valid</v>
      </c>
      <c r="R49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45360</v>
      </c>
      <c r="S494" s="1" t="str">
        <f>TEXT(digital_banking_transactions3[[#This Row],[Tanggal_Bersih]],"MMMM YYYY")</f>
        <v>March 2024</v>
      </c>
      <c r="T49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9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95" spans="1:21" x14ac:dyDescent="0.35">
      <c r="A495" s="1" t="s">
        <v>2044</v>
      </c>
      <c r="B495" s="1" t="s">
        <v>2045</v>
      </c>
      <c r="C495" s="1" t="s">
        <v>2046</v>
      </c>
      <c r="D495" s="1" t="s">
        <v>254</v>
      </c>
      <c r="E495" s="1" t="s">
        <v>52</v>
      </c>
      <c r="F495" s="1" t="s">
        <v>2047</v>
      </c>
      <c r="G495" s="1" t="s">
        <v>126</v>
      </c>
      <c r="H495" s="1" t="s">
        <v>42</v>
      </c>
      <c r="I495" s="1" t="s">
        <v>131</v>
      </c>
      <c r="J495" s="1" t="s">
        <v>208</v>
      </c>
      <c r="L495">
        <v>3952</v>
      </c>
      <c r="M495">
        <v>0</v>
      </c>
      <c r="N49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9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95" s="5" t="s">
        <v>2047</v>
      </c>
      <c r="Q495" t="str">
        <f>IF(OR(digital_banking_transactions3[[#This Row],[Nominal_Bersih]]&lt;0,digital_banking_transactions3[[#This Row],[Nominal_Bersih]]=0),"Invalid","Valid")</f>
        <v>Valid</v>
      </c>
      <c r="R49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45566</v>
      </c>
      <c r="S495" s="1" t="str">
        <f>TEXT(digital_banking_transactions3[[#This Row],[Tanggal_Bersih]],"MMMM YYYY")</f>
        <v>October 2024</v>
      </c>
      <c r="T49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9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96" spans="1:21" x14ac:dyDescent="0.35">
      <c r="A496" s="1" t="s">
        <v>2048</v>
      </c>
      <c r="B496" s="1" t="s">
        <v>2049</v>
      </c>
      <c r="C496" s="1" t="s">
        <v>2050</v>
      </c>
      <c r="D496" s="1" t="s">
        <v>25</v>
      </c>
      <c r="E496" s="1" t="s">
        <v>17</v>
      </c>
      <c r="F496" s="1" t="s">
        <v>2051</v>
      </c>
      <c r="G496" s="1" t="s">
        <v>126</v>
      </c>
      <c r="H496" s="1" t="s">
        <v>96</v>
      </c>
      <c r="I496" s="1" t="s">
        <v>21</v>
      </c>
      <c r="J496" s="1" t="s">
        <v>121</v>
      </c>
      <c r="K496">
        <v>2500</v>
      </c>
      <c r="L496">
        <v>3753</v>
      </c>
      <c r="M496">
        <v>0</v>
      </c>
      <c r="N49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9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96" s="5" t="s">
        <v>2051</v>
      </c>
      <c r="Q496" t="str">
        <f>IF(OR(digital_banking_transactions3[[#This Row],[Nominal_Bersih]]&lt;0,digital_banking_transactions3[[#This Row],[Nominal_Bersih]]=0),"Invalid","Valid")</f>
        <v>Valid</v>
      </c>
      <c r="R49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45546</v>
      </c>
      <c r="S496" s="1" t="str">
        <f>TEXT(digital_banking_transactions3[[#This Row],[Tanggal_Bersih]],"MMMM YYYY")</f>
        <v>September 2024</v>
      </c>
      <c r="T49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49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97" spans="1:21" x14ac:dyDescent="0.35">
      <c r="A497" s="1" t="s">
        <v>2052</v>
      </c>
      <c r="B497" s="1" t="s">
        <v>2053</v>
      </c>
      <c r="C497" s="1" t="s">
        <v>2054</v>
      </c>
      <c r="D497" s="1" t="s">
        <v>58</v>
      </c>
      <c r="E497" s="1" t="s">
        <v>32</v>
      </c>
      <c r="F497" s="1">
        <v>2311531</v>
      </c>
      <c r="G497" s="1" t="s">
        <v>126</v>
      </c>
      <c r="H497" s="1" t="s">
        <v>106</v>
      </c>
      <c r="I497" s="1" t="s">
        <v>21</v>
      </c>
      <c r="J497" s="1" t="s">
        <v>21</v>
      </c>
      <c r="K497">
        <v>0</v>
      </c>
      <c r="L497">
        <v>411</v>
      </c>
      <c r="M497">
        <v>1</v>
      </c>
      <c r="N49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49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497" s="5">
        <v>2311531</v>
      </c>
      <c r="Q497" t="str">
        <f>IF(OR(digital_banking_transactions3[[#This Row],[Nominal_Bersih]]&lt;0,digital_banking_transactions3[[#This Row],[Nominal_Bersih]]=0),"Invalid","Valid")</f>
        <v>Valid</v>
      </c>
      <c r="R49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45416</v>
      </c>
      <c r="S497" s="1" t="str">
        <f>TEXT(digital_banking_transactions3[[#This Row],[Tanggal_Bersih]],"MMMM YYYY")</f>
        <v>May 2024</v>
      </c>
      <c r="T49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49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98" spans="1:21" x14ac:dyDescent="0.35">
      <c r="A498" s="1" t="s">
        <v>2056</v>
      </c>
      <c r="B498" s="1" t="s">
        <v>2057</v>
      </c>
      <c r="C498" s="1" t="s">
        <v>2058</v>
      </c>
      <c r="D498" s="1" t="s">
        <v>93</v>
      </c>
      <c r="E498" s="1" t="s">
        <v>94</v>
      </c>
      <c r="F498" s="1" t="s">
        <v>2059</v>
      </c>
      <c r="G498" s="1" t="s">
        <v>41</v>
      </c>
      <c r="H498" s="1" t="s">
        <v>77</v>
      </c>
      <c r="I498" s="1" t="s">
        <v>21</v>
      </c>
      <c r="J498" s="1" t="s">
        <v>21</v>
      </c>
      <c r="K498">
        <v>1500</v>
      </c>
      <c r="L498">
        <v>3615</v>
      </c>
      <c r="M498">
        <v>0</v>
      </c>
      <c r="N49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9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498" s="5" t="s">
        <v>2059</v>
      </c>
      <c r="Q498" t="str">
        <f>IF(OR(digital_banking_transactions3[[#This Row],[Nominal_Bersih]]&lt;0,digital_banking_transactions3[[#This Row],[Nominal_Bersih]]=0),"Invalid","Valid")</f>
        <v>Valid</v>
      </c>
      <c r="R49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45367</v>
      </c>
      <c r="S498" s="1" t="str">
        <f>TEXT(digital_banking_transactions3[[#This Row],[Tanggal_Bersih]],"MMMM YYYY")</f>
        <v>March 2024</v>
      </c>
      <c r="T49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49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499" spans="1:21" x14ac:dyDescent="0.35">
      <c r="A499" s="1" t="s">
        <v>2060</v>
      </c>
      <c r="B499" s="1" t="s">
        <v>2061</v>
      </c>
      <c r="C499" s="1" t="s">
        <v>2062</v>
      </c>
      <c r="D499" s="1" t="s">
        <v>16</v>
      </c>
      <c r="E499" s="1" t="s">
        <v>94</v>
      </c>
      <c r="F499" s="1">
        <v>14560078</v>
      </c>
      <c r="G499" s="1" t="s">
        <v>48</v>
      </c>
      <c r="H499" s="1" t="s">
        <v>42</v>
      </c>
      <c r="I499" s="1" t="s">
        <v>21</v>
      </c>
      <c r="J499" s="1" t="s">
        <v>21</v>
      </c>
      <c r="K499">
        <v>1500</v>
      </c>
      <c r="L499">
        <v>4710</v>
      </c>
      <c r="M499">
        <v>0</v>
      </c>
      <c r="N49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49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499" s="5">
        <v>14560078</v>
      </c>
      <c r="Q499" t="str">
        <f>IF(OR(digital_banking_transactions3[[#This Row],[Nominal_Bersih]]&lt;0,digital_banking_transactions3[[#This Row],[Nominal_Bersih]]=0),"Invalid","Valid")</f>
        <v>Valid</v>
      </c>
      <c r="R49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45579</v>
      </c>
      <c r="S499" s="1" t="str">
        <f>TEXT(digital_banking_transactions3[[#This Row],[Tanggal_Bersih]],"MMMM YYYY")</f>
        <v>October 2024</v>
      </c>
      <c r="T49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49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00" spans="1:21" x14ac:dyDescent="0.35">
      <c r="A500" s="1" t="s">
        <v>2064</v>
      </c>
      <c r="B500" s="1" t="s">
        <v>1152</v>
      </c>
      <c r="C500" s="1" t="s">
        <v>2065</v>
      </c>
      <c r="D500" s="1" t="s">
        <v>16</v>
      </c>
      <c r="E500" s="1" t="s">
        <v>39</v>
      </c>
      <c r="F500" s="1" t="s">
        <v>2066</v>
      </c>
      <c r="G500" s="1" t="s">
        <v>381</v>
      </c>
      <c r="H500" s="1" t="s">
        <v>77</v>
      </c>
      <c r="I500" s="1" t="s">
        <v>21</v>
      </c>
      <c r="J500" s="1" t="s">
        <v>21</v>
      </c>
      <c r="K500">
        <v>7500</v>
      </c>
      <c r="L500">
        <v>1041</v>
      </c>
      <c r="M500">
        <v>1</v>
      </c>
      <c r="N50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0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00" s="5" t="s">
        <v>2066</v>
      </c>
      <c r="Q500" t="str">
        <f>IF(OR(digital_banking_transactions3[[#This Row],[Nominal_Bersih]]&lt;0,digital_banking_transactions3[[#This Row],[Nominal_Bersih]]=0),"Invalid","Valid")</f>
        <v>Valid</v>
      </c>
      <c r="R50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45300</v>
      </c>
      <c r="S500" s="1" t="str">
        <f>TEXT(digital_banking_transactions3[[#This Row],[Tanggal_Bersih]],"MMMM YYYY")</f>
        <v>January 2024</v>
      </c>
      <c r="T50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0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01" spans="1:21" x14ac:dyDescent="0.35">
      <c r="A501" s="1" t="s">
        <v>2067</v>
      </c>
      <c r="B501" s="1" t="s">
        <v>2068</v>
      </c>
      <c r="C501" s="1" t="s">
        <v>2069</v>
      </c>
      <c r="D501" s="1" t="s">
        <v>546</v>
      </c>
      <c r="E501" s="1" t="s">
        <v>52</v>
      </c>
      <c r="F501" s="1" t="s">
        <v>2070</v>
      </c>
      <c r="G501" s="1" t="s">
        <v>27</v>
      </c>
      <c r="H501" s="1" t="s">
        <v>96</v>
      </c>
      <c r="I501" s="1" t="s">
        <v>21</v>
      </c>
      <c r="J501" s="1" t="s">
        <v>21</v>
      </c>
      <c r="L501">
        <v>2708</v>
      </c>
      <c r="M501">
        <v>0</v>
      </c>
      <c r="N50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0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01" s="5" t="s">
        <v>2070</v>
      </c>
      <c r="Q501" t="str">
        <f>IF(OR(digital_banking_transactions3[[#This Row],[Nominal_Bersih]]&lt;0,digital_banking_transactions3[[#This Row],[Nominal_Bersih]]=0),"Invalid","Valid")</f>
        <v>Valid</v>
      </c>
      <c r="R50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45311</v>
      </c>
      <c r="S501" s="1" t="str">
        <f>TEXT(digital_banking_transactions3[[#This Row],[Tanggal_Bersih]],"MMMM YYYY")</f>
        <v>January 2024</v>
      </c>
      <c r="T50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0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02" spans="1:21" x14ac:dyDescent="0.35">
      <c r="A502" s="1" t="s">
        <v>2071</v>
      </c>
      <c r="B502" s="1" t="s">
        <v>2072</v>
      </c>
      <c r="C502" s="1" t="s">
        <v>2073</v>
      </c>
      <c r="D502" s="1" t="s">
        <v>46</v>
      </c>
      <c r="E502" s="1" t="s">
        <v>52</v>
      </c>
      <c r="F502" s="1" t="s">
        <v>2074</v>
      </c>
      <c r="G502" s="1" t="s">
        <v>126</v>
      </c>
      <c r="H502" s="1" t="s">
        <v>77</v>
      </c>
      <c r="I502" s="1" t="s">
        <v>112</v>
      </c>
      <c r="J502" s="1" t="s">
        <v>21</v>
      </c>
      <c r="K502">
        <v>6500</v>
      </c>
      <c r="L502">
        <v>4526</v>
      </c>
      <c r="M502">
        <v>0</v>
      </c>
      <c r="N50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0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02" s="5" t="s">
        <v>2074</v>
      </c>
      <c r="Q502" t="str">
        <f>IF(OR(digital_banking_transactions3[[#This Row],[Nominal_Bersih]]&lt;0,digital_banking_transactions3[[#This Row],[Nominal_Bersih]]=0),"Invalid","Valid")</f>
        <v>Valid</v>
      </c>
      <c r="R50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45499</v>
      </c>
      <c r="S502" s="1" t="str">
        <f>TEXT(digital_banking_transactions3[[#This Row],[Tanggal_Bersih]],"MMMM YYYY")</f>
        <v>July 2024</v>
      </c>
      <c r="T50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0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03" spans="1:21" x14ac:dyDescent="0.35">
      <c r="A503" s="1" t="s">
        <v>2075</v>
      </c>
      <c r="B503" s="1" t="s">
        <v>2076</v>
      </c>
      <c r="C503" s="1" t="s">
        <v>2077</v>
      </c>
      <c r="D503" s="1" t="s">
        <v>75</v>
      </c>
      <c r="E503" s="1" t="s">
        <v>52</v>
      </c>
      <c r="F503" s="1" t="s">
        <v>2078</v>
      </c>
      <c r="G503" s="1" t="s">
        <v>381</v>
      </c>
      <c r="H503" s="1" t="s">
        <v>35</v>
      </c>
      <c r="I503" s="1" t="s">
        <v>291</v>
      </c>
      <c r="J503" s="1" t="s">
        <v>21</v>
      </c>
      <c r="K503">
        <v>6500</v>
      </c>
      <c r="L503">
        <v>3528</v>
      </c>
      <c r="M503">
        <v>0</v>
      </c>
      <c r="N50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0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03" s="5" t="s">
        <v>2078</v>
      </c>
      <c r="Q503" t="str">
        <f>IF(OR(digital_banking_transactions3[[#This Row],[Nominal_Bersih]]&lt;0,digital_banking_transactions3[[#This Row],[Nominal_Bersih]]=0),"Invalid","Valid")</f>
        <v>Valid</v>
      </c>
      <c r="R50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45652</v>
      </c>
      <c r="S503" s="1" t="str">
        <f>TEXT(digital_banking_transactions3[[#This Row],[Tanggal_Bersih]],"MMMM YYYY")</f>
        <v>December 2024</v>
      </c>
      <c r="T50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0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04" spans="1:21" x14ac:dyDescent="0.35">
      <c r="A504" s="1" t="s">
        <v>2079</v>
      </c>
      <c r="B504" s="1" t="s">
        <v>2080</v>
      </c>
      <c r="C504" s="1" t="s">
        <v>2081</v>
      </c>
      <c r="D504" s="1" t="s">
        <v>150</v>
      </c>
      <c r="E504" s="1" t="s">
        <v>52</v>
      </c>
      <c r="F504" s="1">
        <v>1367543</v>
      </c>
      <c r="G504" s="1" t="s">
        <v>126</v>
      </c>
      <c r="H504" s="1" t="s">
        <v>60</v>
      </c>
      <c r="I504" s="1" t="s">
        <v>21</v>
      </c>
      <c r="J504" s="1" t="s">
        <v>79</v>
      </c>
      <c r="K504">
        <v>6500</v>
      </c>
      <c r="L504">
        <v>3589</v>
      </c>
      <c r="M504">
        <v>0</v>
      </c>
      <c r="N50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0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04" s="5">
        <v>1367543</v>
      </c>
      <c r="Q504" t="str">
        <f>IF(OR(digital_banking_transactions3[[#This Row],[Nominal_Bersih]]&lt;0,digital_banking_transactions3[[#This Row],[Nominal_Bersih]]=0),"Invalid","Valid")</f>
        <v>Valid</v>
      </c>
      <c r="R50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45485</v>
      </c>
      <c r="S504" s="1" t="str">
        <f>TEXT(digital_banking_transactions3[[#This Row],[Tanggal_Bersih]],"MMMM YYYY")</f>
        <v>July 2024</v>
      </c>
      <c r="T50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0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05" spans="1:21" x14ac:dyDescent="0.35">
      <c r="A505" s="1" t="s">
        <v>2083</v>
      </c>
      <c r="B505" s="1" t="s">
        <v>609</v>
      </c>
      <c r="C505" s="1" t="s">
        <v>2084</v>
      </c>
      <c r="D505" s="1" t="s">
        <v>58</v>
      </c>
      <c r="E505" s="1" t="s">
        <v>32</v>
      </c>
      <c r="F505" s="1">
        <v>392690</v>
      </c>
      <c r="G505" s="1" t="s">
        <v>126</v>
      </c>
      <c r="H505" s="1" t="s">
        <v>35</v>
      </c>
      <c r="I505" s="1" t="s">
        <v>21</v>
      </c>
      <c r="J505" s="1" t="s">
        <v>21</v>
      </c>
      <c r="K505">
        <v>0</v>
      </c>
      <c r="L505">
        <v>745</v>
      </c>
      <c r="M505">
        <v>0</v>
      </c>
      <c r="N50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0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05" s="5">
        <v>392690</v>
      </c>
      <c r="Q505" t="str">
        <f>IF(OR(digital_banking_transactions3[[#This Row],[Nominal_Bersih]]&lt;0,digital_banking_transactions3[[#This Row],[Nominal_Bersih]]=0),"Invalid","Valid")</f>
        <v>Valid</v>
      </c>
      <c r="R50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45567</v>
      </c>
      <c r="S505" s="1" t="str">
        <f>TEXT(digital_banking_transactions3[[#This Row],[Tanggal_Bersih]],"MMMM YYYY")</f>
        <v>October 2024</v>
      </c>
      <c r="T50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0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06" spans="1:21" x14ac:dyDescent="0.35">
      <c r="A506" s="1" t="s">
        <v>2086</v>
      </c>
      <c r="B506" s="1" t="s">
        <v>2087</v>
      </c>
      <c r="C506" s="1" t="s">
        <v>2088</v>
      </c>
      <c r="D506" s="1" t="s">
        <v>25</v>
      </c>
      <c r="E506" s="1" t="s">
        <v>94</v>
      </c>
      <c r="F506" s="4">
        <v>31006514</v>
      </c>
      <c r="G506" s="1" t="s">
        <v>41</v>
      </c>
      <c r="H506" s="1" t="s">
        <v>77</v>
      </c>
      <c r="I506" s="1" t="s">
        <v>21</v>
      </c>
      <c r="J506" s="1" t="s">
        <v>21</v>
      </c>
      <c r="K506">
        <v>1500</v>
      </c>
      <c r="L506">
        <v>2146</v>
      </c>
      <c r="M506">
        <v>0</v>
      </c>
      <c r="N50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0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06" s="5">
        <v>31006514</v>
      </c>
      <c r="Q506" t="str">
        <f>IF(OR(digital_banking_transactions3[[#This Row],[Nominal_Bersih]]&lt;0,digital_banking_transactions3[[#This Row],[Nominal_Bersih]]=0),"Invalid","Valid")</f>
        <v>Valid</v>
      </c>
      <c r="R50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45456</v>
      </c>
      <c r="S506" s="1" t="str">
        <f>TEXT(digital_banking_transactions3[[#This Row],[Tanggal_Bersih]],"MMMM YYYY")</f>
        <v>June 2024</v>
      </c>
      <c r="T50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0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07" spans="1:21" x14ac:dyDescent="0.35">
      <c r="A507" s="1" t="s">
        <v>2090</v>
      </c>
      <c r="B507" s="1" t="s">
        <v>2091</v>
      </c>
      <c r="C507" s="1" t="s">
        <v>2092</v>
      </c>
      <c r="D507" s="1" t="s">
        <v>25</v>
      </c>
      <c r="E507" s="1" t="s">
        <v>32</v>
      </c>
      <c r="F507" s="1" t="s">
        <v>2093</v>
      </c>
      <c r="G507" s="1" t="s">
        <v>65</v>
      </c>
      <c r="H507" s="1" t="s">
        <v>106</v>
      </c>
      <c r="I507" s="1" t="s">
        <v>21</v>
      </c>
      <c r="J507" s="1" t="s">
        <v>226</v>
      </c>
      <c r="K507">
        <v>0</v>
      </c>
      <c r="L507">
        <v>3891</v>
      </c>
      <c r="M507">
        <v>0</v>
      </c>
      <c r="N50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0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07" s="5" t="s">
        <v>2093</v>
      </c>
      <c r="Q507" t="str">
        <f>IF(OR(digital_banking_transactions3[[#This Row],[Nominal_Bersih]]&lt;0,digital_banking_transactions3[[#This Row],[Nominal_Bersih]]=0),"Invalid","Valid")</f>
        <v>Valid</v>
      </c>
      <c r="R50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45607</v>
      </c>
      <c r="S507" s="1" t="str">
        <f>TEXT(digital_banking_transactions3[[#This Row],[Tanggal_Bersih]],"MMMM YYYY")</f>
        <v>November 2024</v>
      </c>
      <c r="T50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0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08" spans="1:21" x14ac:dyDescent="0.35">
      <c r="A508" s="1" t="s">
        <v>2094</v>
      </c>
      <c r="B508" s="1" t="s">
        <v>1157</v>
      </c>
      <c r="C508" s="1" t="s">
        <v>2095</v>
      </c>
      <c r="D508" s="1" t="s">
        <v>25</v>
      </c>
      <c r="E508" s="1" t="s">
        <v>39</v>
      </c>
      <c r="F508" s="1">
        <v>28849022</v>
      </c>
      <c r="G508" s="1" t="s">
        <v>41</v>
      </c>
      <c r="H508" s="1" t="s">
        <v>96</v>
      </c>
      <c r="I508" s="1" t="s">
        <v>21</v>
      </c>
      <c r="J508" s="1" t="s">
        <v>71</v>
      </c>
      <c r="K508">
        <v>7500</v>
      </c>
      <c r="L508">
        <v>3418</v>
      </c>
      <c r="M508">
        <v>0</v>
      </c>
      <c r="N50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0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08" s="5">
        <v>28849022</v>
      </c>
      <c r="Q508" t="str">
        <f>IF(OR(digital_banking_transactions3[[#This Row],[Nominal_Bersih]]&lt;0,digital_banking_transactions3[[#This Row],[Nominal_Bersih]]=0),"Invalid","Valid")</f>
        <v>Valid</v>
      </c>
      <c r="R50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45563</v>
      </c>
      <c r="S508" s="1" t="str">
        <f>TEXT(digital_banking_transactions3[[#This Row],[Tanggal_Bersih]],"MMMM YYYY")</f>
        <v>September 2024</v>
      </c>
      <c r="T50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0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09" spans="1:21" x14ac:dyDescent="0.35">
      <c r="A509" s="1" t="s">
        <v>2097</v>
      </c>
      <c r="B509" s="1" t="s">
        <v>1169</v>
      </c>
      <c r="C509" s="1" t="s">
        <v>2098</v>
      </c>
      <c r="D509" s="1" t="s">
        <v>58</v>
      </c>
      <c r="E509" s="1" t="s">
        <v>17</v>
      </c>
      <c r="F509" s="1">
        <v>42825300</v>
      </c>
      <c r="G509" s="1" t="s">
        <v>264</v>
      </c>
      <c r="H509" s="1" t="s">
        <v>54</v>
      </c>
      <c r="I509" s="1" t="s">
        <v>21</v>
      </c>
      <c r="J509" s="1" t="s">
        <v>21</v>
      </c>
      <c r="K509">
        <v>2500</v>
      </c>
      <c r="L509">
        <v>712</v>
      </c>
      <c r="M509">
        <v>0</v>
      </c>
      <c r="N50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0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09" s="5">
        <v>42825300</v>
      </c>
      <c r="Q509" t="str">
        <f>IF(OR(digital_banking_transactions3[[#This Row],[Nominal_Bersih]]&lt;0,digital_banking_transactions3[[#This Row],[Nominal_Bersih]]=0),"Invalid","Valid")</f>
        <v>Valid</v>
      </c>
      <c r="R50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45381</v>
      </c>
      <c r="S509" s="1" t="str">
        <f>TEXT(digital_banking_transactions3[[#This Row],[Tanggal_Bersih]],"MMMM YYYY")</f>
        <v>March 2024</v>
      </c>
      <c r="T50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0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10" spans="1:21" x14ac:dyDescent="0.35">
      <c r="A510" s="1" t="s">
        <v>2100</v>
      </c>
      <c r="B510" s="1" t="s">
        <v>2101</v>
      </c>
      <c r="C510" s="1" t="s">
        <v>2102</v>
      </c>
      <c r="D510" s="1" t="s">
        <v>75</v>
      </c>
      <c r="E510" s="1" t="s">
        <v>39</v>
      </c>
      <c r="F510" s="1" t="s">
        <v>2103</v>
      </c>
      <c r="G510" s="1" t="s">
        <v>485</v>
      </c>
      <c r="H510" s="1" t="s">
        <v>106</v>
      </c>
      <c r="I510" s="1" t="s">
        <v>21</v>
      </c>
      <c r="J510" s="1" t="s">
        <v>286</v>
      </c>
      <c r="K510">
        <v>7500</v>
      </c>
      <c r="L510">
        <v>3045</v>
      </c>
      <c r="M510">
        <v>0</v>
      </c>
      <c r="N51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1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10" s="5" t="s">
        <v>2103</v>
      </c>
      <c r="Q510" t="str">
        <f>IF(OR(digital_banking_transactions3[[#This Row],[Nominal_Bersih]]&lt;0,digital_banking_transactions3[[#This Row],[Nominal_Bersih]]=0),"Invalid","Valid")</f>
        <v>Valid</v>
      </c>
      <c r="R51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45313</v>
      </c>
      <c r="S510" s="1" t="str">
        <f>TEXT(digital_banking_transactions3[[#This Row],[Tanggal_Bersih]],"MMMM YYYY")</f>
        <v>January 2024</v>
      </c>
      <c r="T51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1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11" spans="1:21" x14ac:dyDescent="0.35">
      <c r="A511" s="1" t="s">
        <v>2104</v>
      </c>
      <c r="B511" s="1" t="s">
        <v>2105</v>
      </c>
      <c r="C511" s="1" t="s">
        <v>2106</v>
      </c>
      <c r="D511" s="1" t="s">
        <v>25</v>
      </c>
      <c r="E511" s="1" t="s">
        <v>32</v>
      </c>
      <c r="F511" s="4">
        <v>15400800</v>
      </c>
      <c r="G511" s="1" t="s">
        <v>65</v>
      </c>
      <c r="H511" s="1" t="s">
        <v>35</v>
      </c>
      <c r="I511" s="1" t="s">
        <v>21</v>
      </c>
      <c r="J511" s="1" t="s">
        <v>71</v>
      </c>
      <c r="K511">
        <v>0</v>
      </c>
      <c r="L511">
        <v>2047</v>
      </c>
      <c r="M511">
        <v>0</v>
      </c>
      <c r="N51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1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11" s="5">
        <v>15400800</v>
      </c>
      <c r="Q511" t="str">
        <f>IF(OR(digital_banking_transactions3[[#This Row],[Nominal_Bersih]]&lt;0,digital_banking_transactions3[[#This Row],[Nominal_Bersih]]=0),"Invalid","Valid")</f>
        <v>Valid</v>
      </c>
      <c r="R51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45333</v>
      </c>
      <c r="S511" s="1" t="str">
        <f>TEXT(digital_banking_transactions3[[#This Row],[Tanggal_Bersih]],"MMMM YYYY")</f>
        <v>February 2024</v>
      </c>
      <c r="T51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1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12" spans="1:21" x14ac:dyDescent="0.35">
      <c r="A512" s="1" t="s">
        <v>2108</v>
      </c>
      <c r="B512" s="1" t="s">
        <v>431</v>
      </c>
      <c r="C512" s="1" t="s">
        <v>2109</v>
      </c>
      <c r="D512" s="1" t="s">
        <v>25</v>
      </c>
      <c r="E512" s="1" t="s">
        <v>52</v>
      </c>
      <c r="F512" s="1" t="s">
        <v>2110</v>
      </c>
      <c r="G512" s="1" t="s">
        <v>41</v>
      </c>
      <c r="H512" s="1" t="s">
        <v>20</v>
      </c>
      <c r="I512" s="1" t="s">
        <v>138</v>
      </c>
      <c r="J512" s="1" t="s">
        <v>121</v>
      </c>
      <c r="K512">
        <v>6500</v>
      </c>
      <c r="L512">
        <v>48424</v>
      </c>
      <c r="M512">
        <v>0</v>
      </c>
      <c r="N51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1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12" s="5" t="s">
        <v>2110</v>
      </c>
      <c r="Q512" t="str">
        <f>IF(OR(digital_banking_transactions3[[#This Row],[Nominal_Bersih]]&lt;0,digital_banking_transactions3[[#This Row],[Nominal_Bersih]]=0),"Invalid","Valid")</f>
        <v>Valid</v>
      </c>
      <c r="R51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45636</v>
      </c>
      <c r="S512" s="1" t="str">
        <f>TEXT(digital_banking_transactions3[[#This Row],[Tanggal_Bersih]],"MMMM YYYY")</f>
        <v>December 2024</v>
      </c>
      <c r="T51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1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513" spans="1:21" x14ac:dyDescent="0.35">
      <c r="A513" s="1" t="s">
        <v>2111</v>
      </c>
      <c r="B513" s="1" t="s">
        <v>2112</v>
      </c>
      <c r="C513" s="1" t="s">
        <v>2113</v>
      </c>
      <c r="D513" s="1" t="s">
        <v>254</v>
      </c>
      <c r="E513" s="1" t="s">
        <v>39</v>
      </c>
      <c r="F513" s="4">
        <v>40414355</v>
      </c>
      <c r="G513" s="1" t="s">
        <v>41</v>
      </c>
      <c r="H513" s="1" t="s">
        <v>77</v>
      </c>
      <c r="I513" s="1" t="s">
        <v>21</v>
      </c>
      <c r="J513" s="1" t="s">
        <v>121</v>
      </c>
      <c r="K513">
        <v>7500</v>
      </c>
      <c r="L513">
        <v>894</v>
      </c>
      <c r="M513">
        <v>0</v>
      </c>
      <c r="N51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1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13" s="5">
        <v>40414355</v>
      </c>
      <c r="Q513" t="str">
        <f>IF(OR(digital_banking_transactions3[[#This Row],[Nominal_Bersih]]&lt;0,digital_banking_transactions3[[#This Row],[Nominal_Bersih]]=0),"Invalid","Valid")</f>
        <v>Valid</v>
      </c>
      <c r="R51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45344</v>
      </c>
      <c r="S513" s="1" t="str">
        <f>TEXT(digital_banking_transactions3[[#This Row],[Tanggal_Bersih]],"MMMM YYYY")</f>
        <v>February 2024</v>
      </c>
      <c r="T51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1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14" spans="1:21" x14ac:dyDescent="0.35">
      <c r="A514" s="1" t="s">
        <v>2115</v>
      </c>
      <c r="B514" s="1" t="s">
        <v>2116</v>
      </c>
      <c r="C514" s="1" t="s">
        <v>2117</v>
      </c>
      <c r="D514" s="1" t="s">
        <v>25</v>
      </c>
      <c r="E514" s="1" t="s">
        <v>39</v>
      </c>
      <c r="F514" s="1">
        <v>3821413900</v>
      </c>
      <c r="G514" s="1" t="s">
        <v>126</v>
      </c>
      <c r="H514" s="1" t="s">
        <v>42</v>
      </c>
      <c r="I514" s="1" t="s">
        <v>21</v>
      </c>
      <c r="J514" s="1" t="s">
        <v>79</v>
      </c>
      <c r="K514">
        <v>7500</v>
      </c>
      <c r="L514">
        <v>4635</v>
      </c>
      <c r="M514">
        <v>0</v>
      </c>
      <c r="N51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1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14" s="5">
        <v>3821413900</v>
      </c>
      <c r="Q514" t="str">
        <f>IF(OR(digital_banking_transactions3[[#This Row],[Nominal_Bersih]]&lt;0,digital_banking_transactions3[[#This Row],[Nominal_Bersih]]=0),"Invalid","Valid")</f>
        <v>Valid</v>
      </c>
      <c r="R51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45602</v>
      </c>
      <c r="S514" s="1" t="str">
        <f>TEXT(digital_banking_transactions3[[#This Row],[Tanggal_Bersih]],"MMMM YYYY")</f>
        <v>November 2024</v>
      </c>
      <c r="T51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1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15" spans="1:21" x14ac:dyDescent="0.35">
      <c r="A515" s="1" t="s">
        <v>2119</v>
      </c>
      <c r="B515" s="1" t="s">
        <v>2120</v>
      </c>
      <c r="C515" s="1" t="s">
        <v>2121</v>
      </c>
      <c r="D515" s="1" t="s">
        <v>16</v>
      </c>
      <c r="E515" s="1" t="s">
        <v>17</v>
      </c>
      <c r="F515" s="1">
        <v>5424900</v>
      </c>
      <c r="G515" s="1" t="s">
        <v>137</v>
      </c>
      <c r="H515" s="1" t="s">
        <v>35</v>
      </c>
      <c r="I515" s="1" t="s">
        <v>21</v>
      </c>
      <c r="J515" s="1" t="s">
        <v>21</v>
      </c>
      <c r="K515">
        <v>2500</v>
      </c>
      <c r="L515">
        <v>1582</v>
      </c>
      <c r="M515">
        <v>0</v>
      </c>
      <c r="N51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1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15" s="5">
        <v>5424900</v>
      </c>
      <c r="Q515" t="str">
        <f>IF(OR(digital_banking_transactions3[[#This Row],[Nominal_Bersih]]&lt;0,digital_banking_transactions3[[#This Row],[Nominal_Bersih]]=0),"Invalid","Valid")</f>
        <v>Valid</v>
      </c>
      <c r="R51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45360</v>
      </c>
      <c r="S515" s="1" t="str">
        <f>TEXT(digital_banking_transactions3[[#This Row],[Tanggal_Bersih]],"MMMM YYYY")</f>
        <v>March 2024</v>
      </c>
      <c r="T51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1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16" spans="1:21" x14ac:dyDescent="0.35">
      <c r="A516" s="1" t="s">
        <v>2123</v>
      </c>
      <c r="B516" s="1" t="s">
        <v>2124</v>
      </c>
      <c r="C516" s="1" t="s">
        <v>2125</v>
      </c>
      <c r="D516" s="1" t="s">
        <v>16</v>
      </c>
      <c r="E516" s="1" t="s">
        <v>39</v>
      </c>
      <c r="F516" s="1" t="s">
        <v>2126</v>
      </c>
      <c r="G516" s="1" t="s">
        <v>105</v>
      </c>
      <c r="H516" s="1" t="s">
        <v>106</v>
      </c>
      <c r="I516" s="1" t="s">
        <v>21</v>
      </c>
      <c r="J516" s="1" t="s">
        <v>21</v>
      </c>
      <c r="K516">
        <v>7500</v>
      </c>
      <c r="M516">
        <v>0</v>
      </c>
      <c r="N51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1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16" s="5" t="s">
        <v>2126</v>
      </c>
      <c r="Q516" t="str">
        <f>IF(OR(digital_banking_transactions3[[#This Row],[Nominal_Bersih]]&lt;0,digital_banking_transactions3[[#This Row],[Nominal_Bersih]]=0),"Invalid","Valid")</f>
        <v>Valid</v>
      </c>
      <c r="R51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45513</v>
      </c>
      <c r="S516" s="1" t="str">
        <f>TEXT(digital_banking_transactions3[[#This Row],[Tanggal_Bersih]],"MMMM YYYY")</f>
        <v>August 2024</v>
      </c>
      <c r="T51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1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517" spans="1:21" x14ac:dyDescent="0.35">
      <c r="A517" s="1" t="s">
        <v>2127</v>
      </c>
      <c r="B517" s="1" t="s">
        <v>1551</v>
      </c>
      <c r="C517" s="1" t="s">
        <v>2128</v>
      </c>
      <c r="D517" s="1" t="s">
        <v>284</v>
      </c>
      <c r="E517" s="1" t="s">
        <v>94</v>
      </c>
      <c r="F517" s="1" t="s">
        <v>2129</v>
      </c>
      <c r="G517" s="1" t="s">
        <v>195</v>
      </c>
      <c r="H517" s="1" t="s">
        <v>54</v>
      </c>
      <c r="I517" s="1" t="s">
        <v>21</v>
      </c>
      <c r="J517" s="1" t="s">
        <v>121</v>
      </c>
      <c r="K517">
        <v>1500</v>
      </c>
      <c r="L517">
        <v>31489</v>
      </c>
      <c r="M517">
        <v>0</v>
      </c>
      <c r="N51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1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17" s="5" t="s">
        <v>2129</v>
      </c>
      <c r="Q517" t="str">
        <f>IF(OR(digital_banking_transactions3[[#This Row],[Nominal_Bersih]]&lt;0,digital_banking_transactions3[[#This Row],[Nominal_Bersih]]=0),"Invalid","Valid")</f>
        <v>Valid</v>
      </c>
      <c r="R51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45361</v>
      </c>
      <c r="S517" s="1" t="str">
        <f>TEXT(digital_banking_transactions3[[#This Row],[Tanggal_Bersih]],"MMMM YYYY")</f>
        <v>March 2024</v>
      </c>
      <c r="T51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1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518" spans="1:21" x14ac:dyDescent="0.35">
      <c r="A518" s="1" t="s">
        <v>2130</v>
      </c>
      <c r="B518" s="1" t="s">
        <v>362</v>
      </c>
      <c r="C518" s="1" t="s">
        <v>2131</v>
      </c>
      <c r="D518" s="1" t="s">
        <v>16</v>
      </c>
      <c r="E518" s="1" t="s">
        <v>52</v>
      </c>
      <c r="F518" s="1" t="s">
        <v>2132</v>
      </c>
      <c r="G518" s="1" t="s">
        <v>137</v>
      </c>
      <c r="H518" s="1" t="s">
        <v>20</v>
      </c>
      <c r="I518" s="1" t="s">
        <v>131</v>
      </c>
      <c r="J518" s="1" t="s">
        <v>21</v>
      </c>
      <c r="K518">
        <v>6500</v>
      </c>
      <c r="L518">
        <v>4077</v>
      </c>
      <c r="M518">
        <v>0</v>
      </c>
      <c r="N51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1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18" s="5" t="s">
        <v>2132</v>
      </c>
      <c r="Q518" t="str">
        <f>IF(OR(digital_banking_transactions3[[#This Row],[Nominal_Bersih]]&lt;0,digital_banking_transactions3[[#This Row],[Nominal_Bersih]]=0),"Invalid","Valid")</f>
        <v>Valid</v>
      </c>
      <c r="R51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45657</v>
      </c>
      <c r="S518" s="1" t="str">
        <f>TEXT(digital_banking_transactions3[[#This Row],[Tanggal_Bersih]],"MMMM YYYY")</f>
        <v>December 2024</v>
      </c>
      <c r="T51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1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19" spans="1:21" x14ac:dyDescent="0.35">
      <c r="A519" s="1" t="s">
        <v>2133</v>
      </c>
      <c r="B519" s="1" t="s">
        <v>2134</v>
      </c>
      <c r="C519" s="1" t="s">
        <v>2135</v>
      </c>
      <c r="D519" s="1" t="s">
        <v>16</v>
      </c>
      <c r="E519" s="1" t="s">
        <v>17</v>
      </c>
      <c r="F519" s="1">
        <v>2104460</v>
      </c>
      <c r="G519" s="1" t="s">
        <v>264</v>
      </c>
      <c r="H519" s="1" t="s">
        <v>35</v>
      </c>
      <c r="I519" s="1" t="s">
        <v>21</v>
      </c>
      <c r="J519" s="1" t="s">
        <v>21</v>
      </c>
      <c r="K519">
        <v>2500</v>
      </c>
      <c r="L519">
        <v>2616</v>
      </c>
      <c r="M519">
        <v>0</v>
      </c>
      <c r="N51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1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19" s="5">
        <v>2104460</v>
      </c>
      <c r="Q519" t="str">
        <f>IF(OR(digital_banking_transactions3[[#This Row],[Nominal_Bersih]]&lt;0,digital_banking_transactions3[[#This Row],[Nominal_Bersih]]=0),"Invalid","Valid")</f>
        <v>Valid</v>
      </c>
      <c r="R51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45439</v>
      </c>
      <c r="S519" s="1" t="str">
        <f>TEXT(digital_banking_transactions3[[#This Row],[Tanggal_Bersih]],"MMMM YYYY")</f>
        <v>May 2024</v>
      </c>
      <c r="T51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1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20" spans="1:21" x14ac:dyDescent="0.35">
      <c r="A520" s="1" t="s">
        <v>2137</v>
      </c>
      <c r="B520" s="1" t="s">
        <v>2138</v>
      </c>
      <c r="C520" s="1" t="s">
        <v>2139</v>
      </c>
      <c r="D520" s="1" t="s">
        <v>58</v>
      </c>
      <c r="E520" s="1" t="s">
        <v>52</v>
      </c>
      <c r="F520" s="4">
        <v>969113</v>
      </c>
      <c r="G520" s="1" t="s">
        <v>126</v>
      </c>
      <c r="H520" s="1" t="s">
        <v>20</v>
      </c>
      <c r="I520" s="1" t="s">
        <v>21</v>
      </c>
      <c r="J520" s="1" t="s">
        <v>21</v>
      </c>
      <c r="K520">
        <v>6500</v>
      </c>
      <c r="L520">
        <v>2815</v>
      </c>
      <c r="M520">
        <v>0</v>
      </c>
      <c r="N52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2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20" s="5">
        <v>969113</v>
      </c>
      <c r="Q520" t="str">
        <f>IF(OR(digital_banking_transactions3[[#This Row],[Nominal_Bersih]]&lt;0,digital_banking_transactions3[[#This Row],[Nominal_Bersih]]=0),"Invalid","Valid")</f>
        <v>Valid</v>
      </c>
      <c r="R52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45340</v>
      </c>
      <c r="S520" s="1" t="str">
        <f>TEXT(digital_banking_transactions3[[#This Row],[Tanggal_Bersih]],"MMMM YYYY")</f>
        <v>February 2024</v>
      </c>
      <c r="T52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2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21" spans="1:21" x14ac:dyDescent="0.35">
      <c r="A521" s="1" t="s">
        <v>2141</v>
      </c>
      <c r="B521" s="1" t="s">
        <v>2142</v>
      </c>
      <c r="C521" s="1" t="s">
        <v>2143</v>
      </c>
      <c r="D521" s="1" t="s">
        <v>46</v>
      </c>
      <c r="E521" s="1" t="s">
        <v>94</v>
      </c>
      <c r="F521" s="1">
        <v>672338400</v>
      </c>
      <c r="G521" s="1" t="s">
        <v>65</v>
      </c>
      <c r="H521" s="1" t="s">
        <v>77</v>
      </c>
      <c r="I521" s="1" t="s">
        <v>21</v>
      </c>
      <c r="J521" s="1" t="s">
        <v>21</v>
      </c>
      <c r="K521">
        <v>1500</v>
      </c>
      <c r="L521">
        <v>2839</v>
      </c>
      <c r="M521">
        <v>0</v>
      </c>
      <c r="N52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2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21" s="5">
        <v>672338400</v>
      </c>
      <c r="Q521" t="str">
        <f>IF(OR(digital_banking_transactions3[[#This Row],[Nominal_Bersih]]&lt;0,digital_banking_transactions3[[#This Row],[Nominal_Bersih]]=0),"Invalid","Valid")</f>
        <v>Valid</v>
      </c>
      <c r="R52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45321</v>
      </c>
      <c r="S521" s="1" t="str">
        <f>TEXT(digital_banking_transactions3[[#This Row],[Tanggal_Bersih]],"MMMM YYYY")</f>
        <v>January 2024</v>
      </c>
      <c r="T52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2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22" spans="1:21" x14ac:dyDescent="0.35">
      <c r="A522" s="1" t="s">
        <v>2145</v>
      </c>
      <c r="B522" s="1" t="s">
        <v>2146</v>
      </c>
      <c r="C522" s="1" t="s">
        <v>2147</v>
      </c>
      <c r="D522" s="1" t="s">
        <v>16</v>
      </c>
      <c r="E522" s="1" t="s">
        <v>52</v>
      </c>
      <c r="F522" s="1">
        <v>9144512</v>
      </c>
      <c r="G522" s="1" t="s">
        <v>195</v>
      </c>
      <c r="H522" s="1" t="s">
        <v>77</v>
      </c>
      <c r="I522" s="1" t="s">
        <v>112</v>
      </c>
      <c r="J522" s="1" t="s">
        <v>21</v>
      </c>
      <c r="K522">
        <v>6500</v>
      </c>
      <c r="L522">
        <v>655</v>
      </c>
      <c r="M522">
        <v>0</v>
      </c>
      <c r="N52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2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22" s="5">
        <v>9144512</v>
      </c>
      <c r="Q522" t="str">
        <f>IF(OR(digital_banking_transactions3[[#This Row],[Nominal_Bersih]]&lt;0,digital_banking_transactions3[[#This Row],[Nominal_Bersih]]=0),"Invalid","Valid")</f>
        <v>Valid</v>
      </c>
      <c r="R52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45418</v>
      </c>
      <c r="S522" s="1" t="str">
        <f>TEXT(digital_banking_transactions3[[#This Row],[Tanggal_Bersih]],"MMMM YYYY")</f>
        <v>May 2024</v>
      </c>
      <c r="T52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2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23" spans="1:21" x14ac:dyDescent="0.35">
      <c r="A523" s="1" t="s">
        <v>2149</v>
      </c>
      <c r="B523" s="1" t="s">
        <v>2150</v>
      </c>
      <c r="C523" s="1" t="s">
        <v>2151</v>
      </c>
      <c r="D523" s="1" t="s">
        <v>58</v>
      </c>
      <c r="E523" s="1" t="s">
        <v>39</v>
      </c>
      <c r="F523" s="1" t="s">
        <v>2152</v>
      </c>
      <c r="G523" s="1" t="s">
        <v>41</v>
      </c>
      <c r="H523" s="1" t="s">
        <v>77</v>
      </c>
      <c r="I523" s="1" t="s">
        <v>21</v>
      </c>
      <c r="J523" s="1" t="s">
        <v>21</v>
      </c>
      <c r="L523">
        <v>2554</v>
      </c>
      <c r="M523">
        <v>0</v>
      </c>
      <c r="N52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2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23" s="5" t="s">
        <v>2152</v>
      </c>
      <c r="Q523" t="str">
        <f>IF(OR(digital_banking_transactions3[[#This Row],[Nominal_Bersih]]&lt;0,digital_banking_transactions3[[#This Row],[Nominal_Bersih]]=0),"Invalid","Valid")</f>
        <v>Valid</v>
      </c>
      <c r="R52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45365</v>
      </c>
      <c r="S523" s="1" t="str">
        <f>TEXT(digital_banking_transactions3[[#This Row],[Tanggal_Bersih]],"MMMM YYYY")</f>
        <v>March 2024</v>
      </c>
      <c r="T52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2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24" spans="1:21" x14ac:dyDescent="0.35">
      <c r="A524" s="1" t="s">
        <v>2153</v>
      </c>
      <c r="B524" s="1" t="s">
        <v>2154</v>
      </c>
      <c r="C524" s="1" t="s">
        <v>2155</v>
      </c>
      <c r="D524" s="1" t="s">
        <v>25</v>
      </c>
      <c r="E524" s="1" t="s">
        <v>32</v>
      </c>
      <c r="F524" s="1" t="s">
        <v>2156</v>
      </c>
      <c r="G524" s="1" t="s">
        <v>41</v>
      </c>
      <c r="H524" s="1" t="s">
        <v>20</v>
      </c>
      <c r="I524" s="1" t="s">
        <v>21</v>
      </c>
      <c r="J524" s="1" t="s">
        <v>21</v>
      </c>
      <c r="K524">
        <v>0</v>
      </c>
      <c r="L524">
        <v>2295</v>
      </c>
      <c r="M524">
        <v>0</v>
      </c>
      <c r="N52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2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24" s="5" t="s">
        <v>2156</v>
      </c>
      <c r="Q524" t="str">
        <f>IF(OR(digital_banking_transactions3[[#This Row],[Nominal_Bersih]]&lt;0,digital_banking_transactions3[[#This Row],[Nominal_Bersih]]=0),"Invalid","Valid")</f>
        <v>Valid</v>
      </c>
      <c r="R52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45421</v>
      </c>
      <c r="S524" s="1" t="str">
        <f>TEXT(digital_banking_transactions3[[#This Row],[Tanggal_Bersih]],"MMMM YYYY")</f>
        <v>May 2024</v>
      </c>
      <c r="T52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2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25" spans="1:21" x14ac:dyDescent="0.35">
      <c r="A525" s="1" t="s">
        <v>2157</v>
      </c>
      <c r="B525" s="1" t="s">
        <v>2158</v>
      </c>
      <c r="C525" s="1" t="s">
        <v>2159</v>
      </c>
      <c r="D525" s="1" t="s">
        <v>110</v>
      </c>
      <c r="E525" s="1" t="s">
        <v>52</v>
      </c>
      <c r="F525" s="1">
        <v>3034350</v>
      </c>
      <c r="G525" s="1" t="s">
        <v>65</v>
      </c>
      <c r="H525" s="1" t="s">
        <v>60</v>
      </c>
      <c r="I525" s="1" t="s">
        <v>66</v>
      </c>
      <c r="J525" s="1" t="s">
        <v>21</v>
      </c>
      <c r="K525">
        <v>6500</v>
      </c>
      <c r="L525">
        <v>3003</v>
      </c>
      <c r="M525">
        <v>1</v>
      </c>
      <c r="N52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2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25" s="5">
        <v>3034350</v>
      </c>
      <c r="Q525" t="str">
        <f>IF(OR(digital_banking_transactions3[[#This Row],[Nominal_Bersih]]&lt;0,digital_banking_transactions3[[#This Row],[Nominal_Bersih]]=0),"Invalid","Valid")</f>
        <v>Valid</v>
      </c>
      <c r="R52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45552</v>
      </c>
      <c r="S525" s="1" t="str">
        <f>TEXT(digital_banking_transactions3[[#This Row],[Tanggal_Bersih]],"MMMM YYYY")</f>
        <v>September 2024</v>
      </c>
      <c r="T52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2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26" spans="1:21" x14ac:dyDescent="0.35">
      <c r="A526" s="1" t="s">
        <v>2161</v>
      </c>
      <c r="B526" s="1" t="s">
        <v>2162</v>
      </c>
      <c r="C526" s="1" t="s">
        <v>2163</v>
      </c>
      <c r="D526" s="1" t="s">
        <v>135</v>
      </c>
      <c r="E526" s="1" t="s">
        <v>52</v>
      </c>
      <c r="F526" s="1" t="s">
        <v>2164</v>
      </c>
      <c r="G526" s="1" t="s">
        <v>19</v>
      </c>
      <c r="H526" s="1" t="s">
        <v>35</v>
      </c>
      <c r="I526" s="1" t="s">
        <v>2165</v>
      </c>
      <c r="J526" s="1" t="s">
        <v>21</v>
      </c>
      <c r="K526">
        <v>6500</v>
      </c>
      <c r="L526">
        <v>2949</v>
      </c>
      <c r="M526">
        <v>1</v>
      </c>
      <c r="N52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2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26" s="5" t="s">
        <v>2164</v>
      </c>
      <c r="Q526" t="str">
        <f>IF(OR(digital_banking_transactions3[[#This Row],[Nominal_Bersih]]&lt;0,digital_banking_transactions3[[#This Row],[Nominal_Bersih]]=0),"Invalid","Valid")</f>
        <v>Valid</v>
      </c>
      <c r="R52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45366</v>
      </c>
      <c r="S526" s="1" t="str">
        <f>TEXT(digital_banking_transactions3[[#This Row],[Tanggal_Bersih]],"MMMM YYYY")</f>
        <v>March 2024</v>
      </c>
      <c r="T52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2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27" spans="1:21" x14ac:dyDescent="0.35">
      <c r="A527" s="1" t="s">
        <v>2166</v>
      </c>
      <c r="B527" s="1" t="s">
        <v>2167</v>
      </c>
      <c r="C527" s="1" t="s">
        <v>2168</v>
      </c>
      <c r="D527" s="1" t="s">
        <v>150</v>
      </c>
      <c r="E527" s="1" t="s">
        <v>52</v>
      </c>
      <c r="F527" s="1" t="s">
        <v>2169</v>
      </c>
      <c r="G527" s="1" t="s">
        <v>65</v>
      </c>
      <c r="H527" s="1" t="s">
        <v>96</v>
      </c>
      <c r="I527" s="1" t="s">
        <v>131</v>
      </c>
      <c r="J527" s="1" t="s">
        <v>286</v>
      </c>
      <c r="K527">
        <v>6500</v>
      </c>
      <c r="L527">
        <v>2771</v>
      </c>
      <c r="M527">
        <v>0</v>
      </c>
      <c r="N52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2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27" s="5" t="s">
        <v>2169</v>
      </c>
      <c r="Q527" t="str">
        <f>IF(OR(digital_banking_transactions3[[#This Row],[Nominal_Bersih]]&lt;0,digital_banking_transactions3[[#This Row],[Nominal_Bersih]]=0),"Invalid","Valid")</f>
        <v>Valid</v>
      </c>
      <c r="R52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45567</v>
      </c>
      <c r="S527" s="1" t="str">
        <f>TEXT(digital_banking_transactions3[[#This Row],[Tanggal_Bersih]],"MMMM YYYY")</f>
        <v>October 2024</v>
      </c>
      <c r="T52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2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28" spans="1:21" x14ac:dyDescent="0.35">
      <c r="A528" s="1" t="s">
        <v>2170</v>
      </c>
      <c r="B528" s="1" t="s">
        <v>1704</v>
      </c>
      <c r="C528" s="1" t="s">
        <v>2171</v>
      </c>
      <c r="D528" s="1" t="s">
        <v>150</v>
      </c>
      <c r="E528" s="1" t="s">
        <v>94</v>
      </c>
      <c r="F528" s="1">
        <v>3673897</v>
      </c>
      <c r="G528" s="1" t="s">
        <v>105</v>
      </c>
      <c r="H528" s="1" t="s">
        <v>96</v>
      </c>
      <c r="I528" s="1" t="s">
        <v>21</v>
      </c>
      <c r="J528" s="1" t="s">
        <v>121</v>
      </c>
      <c r="K528">
        <v>1500</v>
      </c>
      <c r="L528">
        <v>3909</v>
      </c>
      <c r="M528">
        <v>0</v>
      </c>
      <c r="N52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2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28" s="5">
        <v>3673897</v>
      </c>
      <c r="Q528" t="str">
        <f>IF(OR(digital_banking_transactions3[[#This Row],[Nominal_Bersih]]&lt;0,digital_banking_transactions3[[#This Row],[Nominal_Bersih]]=0),"Invalid","Valid")</f>
        <v>Valid</v>
      </c>
      <c r="R52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45388</v>
      </c>
      <c r="S528" s="1" t="str">
        <f>TEXT(digital_banking_transactions3[[#This Row],[Tanggal_Bersih]],"MMMM YYYY")</f>
        <v>April 2024</v>
      </c>
      <c r="T52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2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29" spans="1:21" x14ac:dyDescent="0.35">
      <c r="A529" s="1" t="s">
        <v>2173</v>
      </c>
      <c r="B529" s="1" t="s">
        <v>2174</v>
      </c>
      <c r="C529" s="1" t="s">
        <v>2175</v>
      </c>
      <c r="D529" s="1" t="s">
        <v>58</v>
      </c>
      <c r="E529" s="1" t="s">
        <v>52</v>
      </c>
      <c r="F529" s="1" t="s">
        <v>2176</v>
      </c>
      <c r="G529" s="1" t="s">
        <v>65</v>
      </c>
      <c r="H529" s="1" t="s">
        <v>96</v>
      </c>
      <c r="I529" s="1" t="s">
        <v>131</v>
      </c>
      <c r="J529" s="1" t="s">
        <v>21</v>
      </c>
      <c r="K529">
        <v>6500</v>
      </c>
      <c r="L529">
        <v>4716</v>
      </c>
      <c r="M529">
        <v>0</v>
      </c>
      <c r="N52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2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29" s="5" t="s">
        <v>2176</v>
      </c>
      <c r="Q529" t="str">
        <f>IF(OR(digital_banking_transactions3[[#This Row],[Nominal_Bersih]]&lt;0,digital_banking_transactions3[[#This Row],[Nominal_Bersih]]=0),"Invalid","Valid")</f>
        <v>Valid</v>
      </c>
      <c r="R52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45526</v>
      </c>
      <c r="S529" s="1" t="str">
        <f>TEXT(digital_banking_transactions3[[#This Row],[Tanggal_Bersih]],"MMMM YYYY")</f>
        <v>August 2024</v>
      </c>
      <c r="T52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2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30" spans="1:21" x14ac:dyDescent="0.35">
      <c r="A530" s="1" t="s">
        <v>2177</v>
      </c>
      <c r="B530" s="1" t="s">
        <v>474</v>
      </c>
      <c r="C530" s="1" t="s">
        <v>2178</v>
      </c>
      <c r="D530" s="1" t="s">
        <v>75</v>
      </c>
      <c r="E530" s="1" t="s">
        <v>17</v>
      </c>
      <c r="F530" s="1">
        <v>69083</v>
      </c>
      <c r="G530" s="1" t="s">
        <v>41</v>
      </c>
      <c r="H530" s="1" t="s">
        <v>35</v>
      </c>
      <c r="I530" s="1" t="s">
        <v>21</v>
      </c>
      <c r="J530" s="1" t="s">
        <v>79</v>
      </c>
      <c r="K530">
        <v>2500</v>
      </c>
      <c r="L530">
        <v>2267</v>
      </c>
      <c r="M530">
        <v>0</v>
      </c>
      <c r="N53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3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30" s="5">
        <v>69083</v>
      </c>
      <c r="Q530" t="str">
        <f>IF(OR(digital_banking_transactions3[[#This Row],[Nominal_Bersih]]&lt;0,digital_banking_transactions3[[#This Row],[Nominal_Bersih]]=0),"Invalid","Valid")</f>
        <v>Valid</v>
      </c>
      <c r="R53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45306</v>
      </c>
      <c r="S530" s="1" t="str">
        <f>TEXT(digital_banking_transactions3[[#This Row],[Tanggal_Bersih]],"MMMM YYYY")</f>
        <v>January 2024</v>
      </c>
      <c r="T53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3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31" spans="1:21" x14ac:dyDescent="0.35">
      <c r="A531" s="1" t="s">
        <v>2180</v>
      </c>
      <c r="B531" s="1" t="s">
        <v>68</v>
      </c>
      <c r="C531" s="1" t="s">
        <v>2181</v>
      </c>
      <c r="D531" s="1" t="s">
        <v>31</v>
      </c>
      <c r="E531" s="1" t="s">
        <v>52</v>
      </c>
      <c r="F531" s="1" t="s">
        <v>2182</v>
      </c>
      <c r="G531" s="1" t="s">
        <v>41</v>
      </c>
      <c r="H531" s="1" t="s">
        <v>35</v>
      </c>
      <c r="I531" s="1" t="s">
        <v>112</v>
      </c>
      <c r="J531" s="1" t="s">
        <v>21</v>
      </c>
      <c r="K531">
        <v>6500</v>
      </c>
      <c r="L531">
        <v>4214</v>
      </c>
      <c r="M531">
        <v>0</v>
      </c>
      <c r="N53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3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31" s="5" t="s">
        <v>2182</v>
      </c>
      <c r="Q531" t="str">
        <f>IF(OR(digital_banking_transactions3[[#This Row],[Nominal_Bersih]]&lt;0,digital_banking_transactions3[[#This Row],[Nominal_Bersih]]=0),"Invalid","Valid")</f>
        <v>Valid</v>
      </c>
      <c r="R53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45553</v>
      </c>
      <c r="S531" s="1" t="str">
        <f>TEXT(digital_banking_transactions3[[#This Row],[Tanggal_Bersih]],"MMMM YYYY")</f>
        <v>September 2024</v>
      </c>
      <c r="T53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3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32" spans="1:21" x14ac:dyDescent="0.35">
      <c r="A532" s="1" t="s">
        <v>2183</v>
      </c>
      <c r="B532" s="1" t="s">
        <v>2184</v>
      </c>
      <c r="C532" s="1" t="s">
        <v>2185</v>
      </c>
      <c r="D532" s="1" t="s">
        <v>75</v>
      </c>
      <c r="E532" s="1" t="s">
        <v>17</v>
      </c>
      <c r="F532" s="1">
        <v>16021839</v>
      </c>
      <c r="G532" s="1" t="s">
        <v>27</v>
      </c>
      <c r="H532" s="1" t="s">
        <v>20</v>
      </c>
      <c r="I532" s="1" t="s">
        <v>21</v>
      </c>
      <c r="J532" s="1" t="s">
        <v>121</v>
      </c>
      <c r="K532">
        <v>2500</v>
      </c>
      <c r="L532">
        <v>4039</v>
      </c>
      <c r="M532">
        <v>0</v>
      </c>
      <c r="N53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3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32" s="5">
        <v>16021839</v>
      </c>
      <c r="Q532" t="str">
        <f>IF(OR(digital_banking_transactions3[[#This Row],[Nominal_Bersih]]&lt;0,digital_banking_transactions3[[#This Row],[Nominal_Bersih]]=0),"Invalid","Valid")</f>
        <v>Valid</v>
      </c>
      <c r="R53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45606</v>
      </c>
      <c r="S532" s="1" t="str">
        <f>TEXT(digital_banking_transactions3[[#This Row],[Tanggal_Bersih]],"MMMM YYYY")</f>
        <v>November 2024</v>
      </c>
      <c r="T53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3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33" spans="1:21" x14ac:dyDescent="0.35">
      <c r="A533" s="1" t="s">
        <v>2187</v>
      </c>
      <c r="B533" s="1" t="s">
        <v>2188</v>
      </c>
      <c r="C533" s="1" t="s">
        <v>2189</v>
      </c>
      <c r="D533" s="1" t="s">
        <v>58</v>
      </c>
      <c r="E533" s="1" t="s">
        <v>94</v>
      </c>
      <c r="F533" s="1" t="s">
        <v>2190</v>
      </c>
      <c r="G533" s="1" t="s">
        <v>41</v>
      </c>
      <c r="H533" s="1" t="s">
        <v>54</v>
      </c>
      <c r="I533" s="1" t="s">
        <v>21</v>
      </c>
      <c r="J533" s="1" t="s">
        <v>21</v>
      </c>
      <c r="K533">
        <v>1500</v>
      </c>
      <c r="L533">
        <v>3273</v>
      </c>
      <c r="M533">
        <v>0</v>
      </c>
      <c r="N53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3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33" s="5" t="s">
        <v>2190</v>
      </c>
      <c r="Q533" t="str">
        <f>IF(OR(digital_banking_transactions3[[#This Row],[Nominal_Bersih]]&lt;0,digital_banking_transactions3[[#This Row],[Nominal_Bersih]]=0),"Invalid","Valid")</f>
        <v>Valid</v>
      </c>
      <c r="R53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45585</v>
      </c>
      <c r="S533" s="1" t="str">
        <f>TEXT(digital_banking_transactions3[[#This Row],[Tanggal_Bersih]],"MMMM YYYY")</f>
        <v>October 2024</v>
      </c>
      <c r="T53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3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34" spans="1:21" x14ac:dyDescent="0.35">
      <c r="A534" s="1" t="s">
        <v>2191</v>
      </c>
      <c r="B534" s="1" t="s">
        <v>2192</v>
      </c>
      <c r="C534" s="1" t="s">
        <v>2193</v>
      </c>
      <c r="D534" s="1" t="s">
        <v>46</v>
      </c>
      <c r="E534" s="1" t="s">
        <v>17</v>
      </c>
      <c r="F534" s="1" t="s">
        <v>2194</v>
      </c>
      <c r="G534" s="1" t="s">
        <v>65</v>
      </c>
      <c r="H534" s="1" t="s">
        <v>77</v>
      </c>
      <c r="I534" s="1" t="s">
        <v>21</v>
      </c>
      <c r="J534" s="1" t="s">
        <v>21</v>
      </c>
      <c r="K534">
        <v>2500</v>
      </c>
      <c r="L534">
        <v>2172</v>
      </c>
      <c r="M534">
        <v>0</v>
      </c>
      <c r="N53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3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34" s="5" t="s">
        <v>2194</v>
      </c>
      <c r="Q534" t="str">
        <f>IF(OR(digital_banking_transactions3[[#This Row],[Nominal_Bersih]]&lt;0,digital_banking_transactions3[[#This Row],[Nominal_Bersih]]=0),"Invalid","Valid")</f>
        <v>Valid</v>
      </c>
      <c r="R53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45440</v>
      </c>
      <c r="S534" s="1" t="str">
        <f>TEXT(digital_banking_transactions3[[#This Row],[Tanggal_Bersih]],"MMMM YYYY")</f>
        <v>May 2024</v>
      </c>
      <c r="T53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3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35" spans="1:21" x14ac:dyDescent="0.35">
      <c r="A535" s="1" t="s">
        <v>2196</v>
      </c>
      <c r="B535" s="1" t="s">
        <v>2197</v>
      </c>
      <c r="C535" s="1" t="s">
        <v>2198</v>
      </c>
      <c r="D535" s="1" t="s">
        <v>93</v>
      </c>
      <c r="E535" s="1" t="s">
        <v>94</v>
      </c>
      <c r="F535" s="4">
        <v>47182665</v>
      </c>
      <c r="G535" s="1" t="s">
        <v>41</v>
      </c>
      <c r="H535" s="1" t="s">
        <v>106</v>
      </c>
      <c r="I535" s="1" t="s">
        <v>21</v>
      </c>
      <c r="J535" s="1" t="s">
        <v>71</v>
      </c>
      <c r="K535">
        <v>1500</v>
      </c>
      <c r="L535">
        <v>4594</v>
      </c>
      <c r="M535">
        <v>1</v>
      </c>
      <c r="N53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3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35" s="5">
        <v>47182665</v>
      </c>
      <c r="Q535" t="str">
        <f>IF(OR(digital_banking_transactions3[[#This Row],[Nominal_Bersih]]&lt;0,digital_banking_transactions3[[#This Row],[Nominal_Bersih]]=0),"Invalid","Valid")</f>
        <v>Valid</v>
      </c>
      <c r="R53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45592</v>
      </c>
      <c r="S535" s="1" t="str">
        <f>TEXT(digital_banking_transactions3[[#This Row],[Tanggal_Bersih]],"MMMM YYYY")</f>
        <v>October 2024</v>
      </c>
      <c r="T53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3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36" spans="1:21" x14ac:dyDescent="0.35">
      <c r="A536" s="1" t="s">
        <v>2200</v>
      </c>
      <c r="B536" s="1" t="s">
        <v>2201</v>
      </c>
      <c r="C536" s="1" t="s">
        <v>1113</v>
      </c>
      <c r="D536" s="1" t="s">
        <v>75</v>
      </c>
      <c r="E536" s="1" t="s">
        <v>52</v>
      </c>
      <c r="F536" s="1" t="s">
        <v>2202</v>
      </c>
      <c r="G536" s="1" t="s">
        <v>65</v>
      </c>
      <c r="H536" s="1" t="s">
        <v>20</v>
      </c>
      <c r="I536" s="1" t="s">
        <v>131</v>
      </c>
      <c r="J536" s="1" t="s">
        <v>79</v>
      </c>
      <c r="K536">
        <v>6500</v>
      </c>
      <c r="M536">
        <v>0</v>
      </c>
      <c r="N53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3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36" s="5" t="s">
        <v>2202</v>
      </c>
      <c r="Q536" t="str">
        <f>IF(OR(digital_banking_transactions3[[#This Row],[Nominal_Bersih]]&lt;0,digital_banking_transactions3[[#This Row],[Nominal_Bersih]]=0),"Invalid","Valid")</f>
        <v>Valid</v>
      </c>
      <c r="R53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45399</v>
      </c>
      <c r="S536" s="1" t="str">
        <f>TEXT(digital_banking_transactions3[[#This Row],[Tanggal_Bersih]],"MMMM YYYY")</f>
        <v>April 2024</v>
      </c>
      <c r="T53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3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537" spans="1:21" x14ac:dyDescent="0.35">
      <c r="A537" s="1" t="s">
        <v>2203</v>
      </c>
      <c r="B537" s="1" t="s">
        <v>2204</v>
      </c>
      <c r="C537" s="1" t="s">
        <v>2205</v>
      </c>
      <c r="D537" s="1" t="s">
        <v>16</v>
      </c>
      <c r="E537" s="1" t="s">
        <v>39</v>
      </c>
      <c r="F537" s="1" t="s">
        <v>2206</v>
      </c>
      <c r="G537" s="1" t="s">
        <v>126</v>
      </c>
      <c r="H537" s="1" t="s">
        <v>106</v>
      </c>
      <c r="I537" s="1" t="s">
        <v>21</v>
      </c>
      <c r="J537" s="1" t="s">
        <v>21</v>
      </c>
      <c r="K537">
        <v>7500</v>
      </c>
      <c r="L537">
        <v>4882</v>
      </c>
      <c r="M537">
        <v>0</v>
      </c>
      <c r="N53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3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37" s="5" t="s">
        <v>2206</v>
      </c>
      <c r="Q537" t="str">
        <f>IF(OR(digital_banking_transactions3[[#This Row],[Nominal_Bersih]]&lt;0,digital_banking_transactions3[[#This Row],[Nominal_Bersih]]=0),"Invalid","Valid")</f>
        <v>Valid</v>
      </c>
      <c r="R53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45586</v>
      </c>
      <c r="S537" s="1" t="str">
        <f>TEXT(digital_banking_transactions3[[#This Row],[Tanggal_Bersih]],"MMMM YYYY")</f>
        <v>October 2024</v>
      </c>
      <c r="T53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3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38" spans="1:21" x14ac:dyDescent="0.35">
      <c r="A538" s="1" t="s">
        <v>2207</v>
      </c>
      <c r="B538" s="1" t="s">
        <v>2208</v>
      </c>
      <c r="C538" s="1" t="s">
        <v>2209</v>
      </c>
      <c r="D538" s="1" t="s">
        <v>93</v>
      </c>
      <c r="E538" s="1" t="s">
        <v>39</v>
      </c>
      <c r="F538" s="1" t="s">
        <v>2210</v>
      </c>
      <c r="G538" s="1" t="s">
        <v>381</v>
      </c>
      <c r="H538" s="1" t="s">
        <v>54</v>
      </c>
      <c r="I538" s="1" t="s">
        <v>21</v>
      </c>
      <c r="J538" s="1" t="s">
        <v>286</v>
      </c>
      <c r="K538">
        <v>7500</v>
      </c>
      <c r="L538">
        <v>643</v>
      </c>
      <c r="M538">
        <v>0</v>
      </c>
      <c r="N53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3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38" s="5" t="s">
        <v>2210</v>
      </c>
      <c r="Q538" t="str">
        <f>IF(OR(digital_banking_transactions3[[#This Row],[Nominal_Bersih]]&lt;0,digital_banking_transactions3[[#This Row],[Nominal_Bersih]]=0),"Invalid","Valid")</f>
        <v>Valid</v>
      </c>
      <c r="R53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45593</v>
      </c>
      <c r="S538" s="1" t="str">
        <f>TEXT(digital_banking_transactions3[[#This Row],[Tanggal_Bersih]],"MMMM YYYY")</f>
        <v>October 2024</v>
      </c>
      <c r="T53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3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39" spans="1:21" x14ac:dyDescent="0.35">
      <c r="A539" s="1" t="s">
        <v>2211</v>
      </c>
      <c r="B539" s="1" t="s">
        <v>2212</v>
      </c>
      <c r="C539" s="1" t="s">
        <v>2213</v>
      </c>
      <c r="D539" s="1" t="s">
        <v>25</v>
      </c>
      <c r="E539" s="1" t="s">
        <v>17</v>
      </c>
      <c r="F539" s="1" t="s">
        <v>2214</v>
      </c>
      <c r="G539" s="1" t="s">
        <v>65</v>
      </c>
      <c r="H539" s="1" t="s">
        <v>35</v>
      </c>
      <c r="I539" s="1" t="s">
        <v>21</v>
      </c>
      <c r="J539" s="1" t="s">
        <v>21</v>
      </c>
      <c r="K539">
        <v>2500</v>
      </c>
      <c r="L539">
        <v>253</v>
      </c>
      <c r="M539">
        <v>0</v>
      </c>
      <c r="N53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3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39" s="5" t="s">
        <v>2214</v>
      </c>
      <c r="Q539" t="str">
        <f>IF(OR(digital_banking_transactions3[[#This Row],[Nominal_Bersih]]&lt;0,digital_banking_transactions3[[#This Row],[Nominal_Bersih]]=0),"Invalid","Valid")</f>
        <v>Valid</v>
      </c>
      <c r="R53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45450</v>
      </c>
      <c r="S539" s="1" t="str">
        <f>TEXT(digital_banking_transactions3[[#This Row],[Tanggal_Bersih]],"MMMM YYYY")</f>
        <v>June 2024</v>
      </c>
      <c r="T53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3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40" spans="1:21" x14ac:dyDescent="0.35">
      <c r="A540" s="1" t="s">
        <v>2215</v>
      </c>
      <c r="B540" s="1" t="s">
        <v>2216</v>
      </c>
      <c r="C540" s="1" t="s">
        <v>2217</v>
      </c>
      <c r="D540" s="1" t="s">
        <v>75</v>
      </c>
      <c r="E540" s="1" t="s">
        <v>94</v>
      </c>
      <c r="F540" s="1" t="s">
        <v>2218</v>
      </c>
      <c r="G540" s="1" t="s">
        <v>126</v>
      </c>
      <c r="H540" s="1" t="s">
        <v>54</v>
      </c>
      <c r="I540" s="1" t="s">
        <v>21</v>
      </c>
      <c r="J540" s="1" t="s">
        <v>71</v>
      </c>
      <c r="K540">
        <v>1500</v>
      </c>
      <c r="L540">
        <v>4912</v>
      </c>
      <c r="M540">
        <v>0</v>
      </c>
      <c r="N54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4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40" s="5" t="s">
        <v>2218</v>
      </c>
      <c r="Q540" t="str">
        <f>IF(OR(digital_banking_transactions3[[#This Row],[Nominal_Bersih]]&lt;0,digital_banking_transactions3[[#This Row],[Nominal_Bersih]]=0),"Invalid","Valid")</f>
        <v>Valid</v>
      </c>
      <c r="R54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45652</v>
      </c>
      <c r="S540" s="1" t="str">
        <f>TEXT(digital_banking_transactions3[[#This Row],[Tanggal_Bersih]],"MMMM YYYY")</f>
        <v>December 2024</v>
      </c>
      <c r="T54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4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41" spans="1:21" x14ac:dyDescent="0.35">
      <c r="A541" s="1" t="s">
        <v>2219</v>
      </c>
      <c r="B541" s="1" t="s">
        <v>2220</v>
      </c>
      <c r="C541" s="1" t="s">
        <v>2221</v>
      </c>
      <c r="D541" s="1" t="s">
        <v>25</v>
      </c>
      <c r="E541" s="1" t="s">
        <v>17</v>
      </c>
      <c r="F541" s="1">
        <v>93549</v>
      </c>
      <c r="G541" s="1" t="s">
        <v>126</v>
      </c>
      <c r="H541" s="1" t="s">
        <v>77</v>
      </c>
      <c r="I541" s="1" t="s">
        <v>21</v>
      </c>
      <c r="J541" s="1" t="s">
        <v>71</v>
      </c>
      <c r="K541">
        <v>2500</v>
      </c>
      <c r="L541">
        <v>3534</v>
      </c>
      <c r="M541">
        <v>0</v>
      </c>
      <c r="N54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4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41" s="5">
        <v>93549</v>
      </c>
      <c r="Q541" t="str">
        <f>IF(OR(digital_banking_transactions3[[#This Row],[Nominal_Bersih]]&lt;0,digital_banking_transactions3[[#This Row],[Nominal_Bersih]]=0),"Invalid","Valid")</f>
        <v>Valid</v>
      </c>
      <c r="R54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45450</v>
      </c>
      <c r="S541" s="1" t="str">
        <f>TEXT(digital_banking_transactions3[[#This Row],[Tanggal_Bersih]],"MMMM YYYY")</f>
        <v>June 2024</v>
      </c>
      <c r="T54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4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42" spans="1:21" x14ac:dyDescent="0.35">
      <c r="A542" s="1" t="s">
        <v>2223</v>
      </c>
      <c r="B542" s="1" t="s">
        <v>2224</v>
      </c>
      <c r="C542" s="1" t="s">
        <v>2225</v>
      </c>
      <c r="D542" s="1" t="s">
        <v>46</v>
      </c>
      <c r="E542" s="1" t="s">
        <v>32</v>
      </c>
      <c r="F542" s="1" t="s">
        <v>2226</v>
      </c>
      <c r="G542" s="1" t="s">
        <v>105</v>
      </c>
      <c r="H542" s="1" t="s">
        <v>20</v>
      </c>
      <c r="I542" s="1" t="s">
        <v>21</v>
      </c>
      <c r="J542" s="1" t="s">
        <v>21</v>
      </c>
      <c r="K542">
        <v>0</v>
      </c>
      <c r="L542">
        <v>4854</v>
      </c>
      <c r="M542">
        <v>0</v>
      </c>
      <c r="N54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4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42" s="5" t="s">
        <v>2226</v>
      </c>
      <c r="Q542" t="str">
        <f>IF(OR(digital_banking_transactions3[[#This Row],[Nominal_Bersih]]&lt;0,digital_banking_transactions3[[#This Row],[Nominal_Bersih]]=0),"Invalid","Valid")</f>
        <v>Valid</v>
      </c>
      <c r="R54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45299</v>
      </c>
      <c r="S542" s="1" t="str">
        <f>TEXT(digital_banking_transactions3[[#This Row],[Tanggal_Bersih]],"MMMM YYYY")</f>
        <v>January 2024</v>
      </c>
      <c r="T54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4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43" spans="1:21" x14ac:dyDescent="0.35">
      <c r="A543" s="1" t="s">
        <v>2227</v>
      </c>
      <c r="B543" s="1" t="s">
        <v>2228</v>
      </c>
      <c r="C543" s="1" t="s">
        <v>2229</v>
      </c>
      <c r="D543" s="1" t="s">
        <v>25</v>
      </c>
      <c r="E543" s="1" t="s">
        <v>17</v>
      </c>
      <c r="F543" s="4">
        <v>43268452</v>
      </c>
      <c r="G543" s="1" t="s">
        <v>41</v>
      </c>
      <c r="H543" s="1" t="s">
        <v>106</v>
      </c>
      <c r="I543" s="1" t="s">
        <v>21</v>
      </c>
      <c r="J543" s="1" t="s">
        <v>79</v>
      </c>
      <c r="K543">
        <v>2500</v>
      </c>
      <c r="L543">
        <v>3839</v>
      </c>
      <c r="M543">
        <v>0</v>
      </c>
      <c r="N54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4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43" s="5">
        <v>43268452</v>
      </c>
      <c r="Q543" t="str">
        <f>IF(OR(digital_banking_transactions3[[#This Row],[Nominal_Bersih]]&lt;0,digital_banking_transactions3[[#This Row],[Nominal_Bersih]]=0),"Invalid","Valid")</f>
        <v>Valid</v>
      </c>
      <c r="R54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45654</v>
      </c>
      <c r="S543" s="1" t="str">
        <f>TEXT(digital_banking_transactions3[[#This Row],[Tanggal_Bersih]],"MMMM YYYY")</f>
        <v>December 2024</v>
      </c>
      <c r="T54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4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44" spans="1:21" x14ac:dyDescent="0.35">
      <c r="A544" s="1" t="s">
        <v>2231</v>
      </c>
      <c r="B544" s="1" t="s">
        <v>2232</v>
      </c>
      <c r="C544" s="1" t="s">
        <v>2233</v>
      </c>
      <c r="D544" s="1" t="s">
        <v>75</v>
      </c>
      <c r="E544" s="1" t="s">
        <v>39</v>
      </c>
      <c r="F544" s="1">
        <v>1086982</v>
      </c>
      <c r="G544" s="1" t="s">
        <v>41</v>
      </c>
      <c r="H544" s="1" t="s">
        <v>54</v>
      </c>
      <c r="I544" s="1" t="s">
        <v>21</v>
      </c>
      <c r="J544" s="1" t="s">
        <v>21</v>
      </c>
      <c r="K544">
        <v>7500</v>
      </c>
      <c r="L544">
        <v>3305</v>
      </c>
      <c r="M544">
        <v>0</v>
      </c>
      <c r="N54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4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44" s="5">
        <v>1086982</v>
      </c>
      <c r="Q544" t="str">
        <f>IF(OR(digital_banking_transactions3[[#This Row],[Nominal_Bersih]]&lt;0,digital_banking_transactions3[[#This Row],[Nominal_Bersih]]=0),"Invalid","Valid")</f>
        <v>Valid</v>
      </c>
      <c r="R54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45422</v>
      </c>
      <c r="S544" s="1" t="str">
        <f>TEXT(digital_banking_transactions3[[#This Row],[Tanggal_Bersih]],"MMMM YYYY")</f>
        <v>May 2024</v>
      </c>
      <c r="T54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4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45" spans="1:21" x14ac:dyDescent="0.35">
      <c r="A545" s="1" t="s">
        <v>2235</v>
      </c>
      <c r="B545" s="1" t="s">
        <v>2236</v>
      </c>
      <c r="C545" s="1" t="s">
        <v>2237</v>
      </c>
      <c r="D545" s="1" t="s">
        <v>150</v>
      </c>
      <c r="E545" s="1" t="s">
        <v>52</v>
      </c>
      <c r="F545" s="1">
        <v>2334104900</v>
      </c>
      <c r="G545" s="1" t="s">
        <v>41</v>
      </c>
      <c r="H545" s="1" t="s">
        <v>96</v>
      </c>
      <c r="I545" s="1" t="s">
        <v>66</v>
      </c>
      <c r="J545" s="1" t="s">
        <v>71</v>
      </c>
      <c r="K545">
        <v>6500</v>
      </c>
      <c r="L545">
        <v>4758</v>
      </c>
      <c r="M545">
        <v>0</v>
      </c>
      <c r="N54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4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45" s="5">
        <v>2334104900</v>
      </c>
      <c r="Q545" t="str">
        <f>IF(OR(digital_banking_transactions3[[#This Row],[Nominal_Bersih]]&lt;0,digital_banking_transactions3[[#This Row],[Nominal_Bersih]]=0),"Invalid","Valid")</f>
        <v>Valid</v>
      </c>
      <c r="R54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45313</v>
      </c>
      <c r="S545" s="1" t="str">
        <f>TEXT(digital_banking_transactions3[[#This Row],[Tanggal_Bersih]],"MMMM YYYY")</f>
        <v>January 2024</v>
      </c>
      <c r="T54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4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46" spans="1:21" x14ac:dyDescent="0.35">
      <c r="A546" s="1" t="s">
        <v>2239</v>
      </c>
      <c r="B546" s="1" t="s">
        <v>2240</v>
      </c>
      <c r="C546" s="1" t="s">
        <v>2241</v>
      </c>
      <c r="D546" s="1" t="s">
        <v>167</v>
      </c>
      <c r="E546" s="1" t="s">
        <v>52</v>
      </c>
      <c r="F546" s="1">
        <v>377601</v>
      </c>
      <c r="G546" s="1" t="s">
        <v>34</v>
      </c>
      <c r="H546" s="1" t="s">
        <v>54</v>
      </c>
      <c r="I546" s="1" t="s">
        <v>291</v>
      </c>
      <c r="J546" s="1" t="s">
        <v>21</v>
      </c>
      <c r="K546">
        <v>6500</v>
      </c>
      <c r="L546">
        <v>944</v>
      </c>
      <c r="M546">
        <v>0</v>
      </c>
      <c r="N54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4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46" s="5">
        <v>377601</v>
      </c>
      <c r="Q546" t="str">
        <f>IF(OR(digital_banking_transactions3[[#This Row],[Nominal_Bersih]]&lt;0,digital_banking_transactions3[[#This Row],[Nominal_Bersih]]=0),"Invalid","Valid")</f>
        <v>Valid</v>
      </c>
      <c r="R54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45350</v>
      </c>
      <c r="S546" s="1" t="str">
        <f>TEXT(digital_banking_transactions3[[#This Row],[Tanggal_Bersih]],"MMMM YYYY")</f>
        <v>February 2024</v>
      </c>
      <c r="T54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4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47" spans="1:21" x14ac:dyDescent="0.35">
      <c r="A547" s="1" t="s">
        <v>2243</v>
      </c>
      <c r="B547" s="1" t="s">
        <v>2244</v>
      </c>
      <c r="C547" s="1" t="s">
        <v>2245</v>
      </c>
      <c r="D547" s="1" t="s">
        <v>546</v>
      </c>
      <c r="E547" s="1" t="s">
        <v>32</v>
      </c>
      <c r="F547" s="4">
        <v>366634</v>
      </c>
      <c r="G547" s="1" t="s">
        <v>41</v>
      </c>
      <c r="H547" s="1" t="s">
        <v>96</v>
      </c>
      <c r="I547" s="1" t="s">
        <v>21</v>
      </c>
      <c r="J547" s="1" t="s">
        <v>79</v>
      </c>
      <c r="K547">
        <v>0</v>
      </c>
      <c r="L547">
        <v>737</v>
      </c>
      <c r="M547">
        <v>0</v>
      </c>
      <c r="N54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4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47" s="5">
        <v>366634</v>
      </c>
      <c r="Q547" t="str">
        <f>IF(OR(digital_banking_transactions3[[#This Row],[Nominal_Bersih]]&lt;0,digital_banking_transactions3[[#This Row],[Nominal_Bersih]]=0),"Invalid","Valid")</f>
        <v>Valid</v>
      </c>
      <c r="R54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45399</v>
      </c>
      <c r="S547" s="1" t="str">
        <f>TEXT(digital_banking_transactions3[[#This Row],[Tanggal_Bersih]],"MMMM YYYY")</f>
        <v>April 2024</v>
      </c>
      <c r="T54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4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48" spans="1:21" x14ac:dyDescent="0.35">
      <c r="A548" s="1" t="s">
        <v>2247</v>
      </c>
      <c r="B548" s="1" t="s">
        <v>2248</v>
      </c>
      <c r="C548" s="1" t="s">
        <v>2249</v>
      </c>
      <c r="D548" s="1" t="s">
        <v>75</v>
      </c>
      <c r="E548" s="1" t="s">
        <v>39</v>
      </c>
      <c r="F548" s="1">
        <v>48855013</v>
      </c>
      <c r="G548" s="1" t="s">
        <v>65</v>
      </c>
      <c r="H548" s="1" t="s">
        <v>42</v>
      </c>
      <c r="I548" s="1" t="s">
        <v>21</v>
      </c>
      <c r="J548" s="1" t="s">
        <v>79</v>
      </c>
      <c r="K548">
        <v>7500</v>
      </c>
      <c r="L548">
        <v>3684</v>
      </c>
      <c r="M548">
        <v>0</v>
      </c>
      <c r="N54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4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48" s="5">
        <v>48855013</v>
      </c>
      <c r="Q548" t="str">
        <f>IF(OR(digital_banking_transactions3[[#This Row],[Nominal_Bersih]]&lt;0,digital_banking_transactions3[[#This Row],[Nominal_Bersih]]=0),"Invalid","Valid")</f>
        <v>Valid</v>
      </c>
      <c r="R54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45372</v>
      </c>
      <c r="S548" s="1" t="str">
        <f>TEXT(digital_banking_transactions3[[#This Row],[Tanggal_Bersih]],"MMMM YYYY")</f>
        <v>March 2024</v>
      </c>
      <c r="T54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4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49" spans="1:21" x14ac:dyDescent="0.35">
      <c r="A549" s="1" t="s">
        <v>2251</v>
      </c>
      <c r="B549" s="1" t="s">
        <v>2252</v>
      </c>
      <c r="C549" s="1" t="s">
        <v>2253</v>
      </c>
      <c r="D549" s="1" t="s">
        <v>16</v>
      </c>
      <c r="E549" s="1" t="s">
        <v>39</v>
      </c>
      <c r="F549" s="1" t="s">
        <v>2254</v>
      </c>
      <c r="G549" s="1" t="s">
        <v>381</v>
      </c>
      <c r="H549" s="1" t="s">
        <v>42</v>
      </c>
      <c r="I549" s="1" t="s">
        <v>21</v>
      </c>
      <c r="J549" s="1" t="s">
        <v>21</v>
      </c>
      <c r="K549">
        <v>7500</v>
      </c>
      <c r="L549">
        <v>1596</v>
      </c>
      <c r="M549">
        <v>0</v>
      </c>
      <c r="N54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4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49" s="5" t="s">
        <v>2254</v>
      </c>
      <c r="Q549" t="str">
        <f>IF(OR(digital_banking_transactions3[[#This Row],[Nominal_Bersih]]&lt;0,digital_banking_transactions3[[#This Row],[Nominal_Bersih]]=0),"Invalid","Valid")</f>
        <v>Valid</v>
      </c>
      <c r="R54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45319</v>
      </c>
      <c r="S549" s="1" t="str">
        <f>TEXT(digital_banking_transactions3[[#This Row],[Tanggal_Bersih]],"MMMM YYYY")</f>
        <v>January 2024</v>
      </c>
      <c r="T54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4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50" spans="1:21" x14ac:dyDescent="0.35">
      <c r="A550" s="1" t="s">
        <v>2255</v>
      </c>
      <c r="B550" s="1" t="s">
        <v>2256</v>
      </c>
      <c r="C550" s="1" t="s">
        <v>2257</v>
      </c>
      <c r="D550" s="1" t="s">
        <v>75</v>
      </c>
      <c r="E550" s="1" t="s">
        <v>52</v>
      </c>
      <c r="F550" s="1" t="s">
        <v>2258</v>
      </c>
      <c r="G550" s="1" t="s">
        <v>41</v>
      </c>
      <c r="H550" s="1" t="s">
        <v>96</v>
      </c>
      <c r="I550" s="1" t="s">
        <v>131</v>
      </c>
      <c r="J550" s="1" t="s">
        <v>71</v>
      </c>
      <c r="K550">
        <v>6500</v>
      </c>
      <c r="L550">
        <v>4233</v>
      </c>
      <c r="M550">
        <v>0</v>
      </c>
      <c r="N55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5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50" s="5" t="s">
        <v>2258</v>
      </c>
      <c r="Q550" t="str">
        <f>IF(OR(digital_banking_transactions3[[#This Row],[Nominal_Bersih]]&lt;0,digital_banking_transactions3[[#This Row],[Nominal_Bersih]]=0),"Invalid","Valid")</f>
        <v>Valid</v>
      </c>
      <c r="R55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45500</v>
      </c>
      <c r="S550" s="1" t="str">
        <f>TEXT(digital_banking_transactions3[[#This Row],[Tanggal_Bersih]],"MMMM YYYY")</f>
        <v>July 2024</v>
      </c>
      <c r="T55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5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51" spans="1:21" x14ac:dyDescent="0.35">
      <c r="A551" s="1" t="s">
        <v>2259</v>
      </c>
      <c r="B551" s="1" t="s">
        <v>2260</v>
      </c>
      <c r="C551" s="1" t="s">
        <v>2261</v>
      </c>
      <c r="D551" s="1" t="s">
        <v>58</v>
      </c>
      <c r="E551" s="1" t="s">
        <v>17</v>
      </c>
      <c r="F551" s="4">
        <v>4243724</v>
      </c>
      <c r="G551" s="1" t="s">
        <v>105</v>
      </c>
      <c r="H551" s="1" t="s">
        <v>20</v>
      </c>
      <c r="I551" s="1" t="s">
        <v>21</v>
      </c>
      <c r="J551" s="1" t="s">
        <v>21</v>
      </c>
      <c r="K551">
        <v>2500</v>
      </c>
      <c r="L551">
        <v>2496</v>
      </c>
      <c r="M551">
        <v>0</v>
      </c>
      <c r="N55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5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51" s="5">
        <v>4243724</v>
      </c>
      <c r="Q551" t="str">
        <f>IF(OR(digital_banking_transactions3[[#This Row],[Nominal_Bersih]]&lt;0,digital_banking_transactions3[[#This Row],[Nominal_Bersih]]=0),"Invalid","Valid")</f>
        <v>Valid</v>
      </c>
      <c r="R55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45357</v>
      </c>
      <c r="S551" s="1" t="str">
        <f>TEXT(digital_banking_transactions3[[#This Row],[Tanggal_Bersih]],"MMMM YYYY")</f>
        <v>March 2024</v>
      </c>
      <c r="T55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5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52" spans="1:21" x14ac:dyDescent="0.35">
      <c r="A552" s="1" t="s">
        <v>2263</v>
      </c>
      <c r="B552" s="1" t="s">
        <v>2264</v>
      </c>
      <c r="C552" s="1" t="s">
        <v>2265</v>
      </c>
      <c r="D552" s="1" t="s">
        <v>546</v>
      </c>
      <c r="E552" s="1" t="s">
        <v>32</v>
      </c>
      <c r="F552" s="1">
        <v>696665</v>
      </c>
      <c r="G552" s="1" t="s">
        <v>264</v>
      </c>
      <c r="H552" s="1" t="s">
        <v>42</v>
      </c>
      <c r="I552" s="1" t="s">
        <v>21</v>
      </c>
      <c r="J552" s="1" t="s">
        <v>79</v>
      </c>
      <c r="K552">
        <v>0</v>
      </c>
      <c r="L552">
        <v>4716</v>
      </c>
      <c r="M552">
        <v>0</v>
      </c>
      <c r="N55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5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52" s="5">
        <v>696665</v>
      </c>
      <c r="Q552" t="str">
        <f>IF(OR(digital_banking_transactions3[[#This Row],[Nominal_Bersih]]&lt;0,digital_banking_transactions3[[#This Row],[Nominal_Bersih]]=0),"Invalid","Valid")</f>
        <v>Valid</v>
      </c>
      <c r="R55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45505</v>
      </c>
      <c r="S552" s="1" t="str">
        <f>TEXT(digital_banking_transactions3[[#This Row],[Tanggal_Bersih]],"MMMM YYYY")</f>
        <v>August 2024</v>
      </c>
      <c r="T55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5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53" spans="1:21" x14ac:dyDescent="0.35">
      <c r="A553" s="1" t="s">
        <v>2267</v>
      </c>
      <c r="B553" s="1" t="s">
        <v>2268</v>
      </c>
      <c r="C553" s="1" t="s">
        <v>2269</v>
      </c>
      <c r="D553" s="1" t="s">
        <v>58</v>
      </c>
      <c r="E553" s="1" t="s">
        <v>17</v>
      </c>
      <c r="F553" s="4">
        <v>490165</v>
      </c>
      <c r="G553" s="1" t="s">
        <v>126</v>
      </c>
      <c r="H553" s="1" t="s">
        <v>20</v>
      </c>
      <c r="I553" s="1" t="s">
        <v>21</v>
      </c>
      <c r="J553" s="1" t="s">
        <v>21</v>
      </c>
      <c r="L553">
        <v>784</v>
      </c>
      <c r="M553">
        <v>0</v>
      </c>
      <c r="N55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5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53" s="5">
        <v>490165</v>
      </c>
      <c r="Q553" t="str">
        <f>IF(OR(digital_banking_transactions3[[#This Row],[Nominal_Bersih]]&lt;0,digital_banking_transactions3[[#This Row],[Nominal_Bersih]]=0),"Invalid","Valid")</f>
        <v>Valid</v>
      </c>
      <c r="R55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45647</v>
      </c>
      <c r="S553" s="1" t="str">
        <f>TEXT(digital_banking_transactions3[[#This Row],[Tanggal_Bersih]],"MMMM YYYY")</f>
        <v>December 2024</v>
      </c>
      <c r="T55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5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54" spans="1:21" x14ac:dyDescent="0.35">
      <c r="A554" s="1" t="s">
        <v>2271</v>
      </c>
      <c r="B554" s="1" t="s">
        <v>2268</v>
      </c>
      <c r="C554" s="1" t="s">
        <v>2272</v>
      </c>
      <c r="D554" s="1" t="s">
        <v>167</v>
      </c>
      <c r="E554" s="1" t="s">
        <v>17</v>
      </c>
      <c r="F554" s="1" t="s">
        <v>2273</v>
      </c>
      <c r="G554" s="1" t="s">
        <v>137</v>
      </c>
      <c r="H554" s="1" t="s">
        <v>106</v>
      </c>
      <c r="I554" s="1" t="s">
        <v>21</v>
      </c>
      <c r="J554" s="1" t="s">
        <v>21</v>
      </c>
      <c r="K554">
        <v>2500</v>
      </c>
      <c r="L554">
        <v>3984</v>
      </c>
      <c r="M554">
        <v>1</v>
      </c>
      <c r="N55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5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54" s="5" t="s">
        <v>2273</v>
      </c>
      <c r="Q554" t="str">
        <f>IF(OR(digital_banking_transactions3[[#This Row],[Nominal_Bersih]]&lt;0,digital_banking_transactions3[[#This Row],[Nominal_Bersih]]=0),"Invalid","Valid")</f>
        <v>Valid</v>
      </c>
      <c r="R55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45647</v>
      </c>
      <c r="S554" s="1" t="str">
        <f>TEXT(digital_banking_transactions3[[#This Row],[Tanggal_Bersih]],"MMMM YYYY")</f>
        <v>December 2024</v>
      </c>
      <c r="T55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5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55" spans="1:21" x14ac:dyDescent="0.35">
      <c r="A555" s="1" t="s">
        <v>2274</v>
      </c>
      <c r="B555" s="1" t="s">
        <v>2275</v>
      </c>
      <c r="C555" s="1" t="s">
        <v>2276</v>
      </c>
      <c r="D555" s="1" t="s">
        <v>25</v>
      </c>
      <c r="E555" s="1" t="s">
        <v>52</v>
      </c>
      <c r="F555" s="1" t="s">
        <v>2277</v>
      </c>
      <c r="G555" s="1" t="s">
        <v>65</v>
      </c>
      <c r="H555" s="1" t="s">
        <v>77</v>
      </c>
      <c r="I555" s="1" t="s">
        <v>78</v>
      </c>
      <c r="J555" s="1" t="s">
        <v>286</v>
      </c>
      <c r="K555">
        <v>6500</v>
      </c>
      <c r="L555">
        <v>2198</v>
      </c>
      <c r="M555">
        <v>0</v>
      </c>
      <c r="N55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5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55" s="5" t="s">
        <v>2277</v>
      </c>
      <c r="Q555" t="str">
        <f>IF(OR(digital_banking_transactions3[[#This Row],[Nominal_Bersih]]&lt;0,digital_banking_transactions3[[#This Row],[Nominal_Bersih]]=0),"Invalid","Valid")</f>
        <v>Valid</v>
      </c>
      <c r="R55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45468</v>
      </c>
      <c r="S555" s="1" t="str">
        <f>TEXT(digital_banking_transactions3[[#This Row],[Tanggal_Bersih]],"MMMM YYYY")</f>
        <v>June 2024</v>
      </c>
      <c r="T55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5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56" spans="1:21" x14ac:dyDescent="0.35">
      <c r="A556" s="1" t="s">
        <v>2278</v>
      </c>
      <c r="B556" s="1" t="s">
        <v>2279</v>
      </c>
      <c r="C556" s="1" t="s">
        <v>2280</v>
      </c>
      <c r="D556" s="1" t="s">
        <v>16</v>
      </c>
      <c r="E556" s="1" t="s">
        <v>17</v>
      </c>
      <c r="F556" s="1">
        <v>3449655</v>
      </c>
      <c r="G556" s="1" t="s">
        <v>65</v>
      </c>
      <c r="H556" s="1" t="s">
        <v>35</v>
      </c>
      <c r="I556" s="1" t="s">
        <v>21</v>
      </c>
      <c r="J556" s="1" t="s">
        <v>21</v>
      </c>
      <c r="K556">
        <v>2500</v>
      </c>
      <c r="L556">
        <v>1211</v>
      </c>
      <c r="M556">
        <v>0</v>
      </c>
      <c r="N55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5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56" s="5">
        <v>3449655</v>
      </c>
      <c r="Q556" t="str">
        <f>IF(OR(digital_banking_transactions3[[#This Row],[Nominal_Bersih]]&lt;0,digital_banking_transactions3[[#This Row],[Nominal_Bersih]]=0),"Invalid","Valid")</f>
        <v>Valid</v>
      </c>
      <c r="R55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45453</v>
      </c>
      <c r="S556" s="1" t="str">
        <f>TEXT(digital_banking_transactions3[[#This Row],[Tanggal_Bersih]],"MMMM YYYY")</f>
        <v>June 2024</v>
      </c>
      <c r="T55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5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57" spans="1:21" x14ac:dyDescent="0.35">
      <c r="A557" s="1" t="s">
        <v>2282</v>
      </c>
      <c r="B557" s="1" t="s">
        <v>2283</v>
      </c>
      <c r="C557" s="1" t="s">
        <v>2284</v>
      </c>
      <c r="D557" s="1" t="s">
        <v>167</v>
      </c>
      <c r="E557" s="1" t="s">
        <v>94</v>
      </c>
      <c r="F557" s="1" t="s">
        <v>2285</v>
      </c>
      <c r="G557" s="1" t="s">
        <v>41</v>
      </c>
      <c r="H557" s="1" t="s">
        <v>106</v>
      </c>
      <c r="I557" s="1" t="s">
        <v>21</v>
      </c>
      <c r="J557" s="1" t="s">
        <v>21</v>
      </c>
      <c r="K557">
        <v>1500</v>
      </c>
      <c r="L557">
        <v>3637</v>
      </c>
      <c r="M557">
        <v>0</v>
      </c>
      <c r="N55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5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57" s="5" t="s">
        <v>2285</v>
      </c>
      <c r="Q557" t="str">
        <f>IF(OR(digital_banking_transactions3[[#This Row],[Nominal_Bersih]]&lt;0,digital_banking_transactions3[[#This Row],[Nominal_Bersih]]=0),"Invalid","Valid")</f>
        <v>Valid</v>
      </c>
      <c r="R55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45350</v>
      </c>
      <c r="S557" s="1" t="str">
        <f>TEXT(digital_banking_transactions3[[#This Row],[Tanggal_Bersih]],"MMMM YYYY")</f>
        <v>February 2024</v>
      </c>
      <c r="T55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5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58" spans="1:21" x14ac:dyDescent="0.35">
      <c r="A558" s="1" t="s">
        <v>2286</v>
      </c>
      <c r="B558" s="1" t="s">
        <v>2287</v>
      </c>
      <c r="C558" s="1" t="s">
        <v>2288</v>
      </c>
      <c r="D558" s="1" t="s">
        <v>150</v>
      </c>
      <c r="E558" s="1" t="s">
        <v>52</v>
      </c>
      <c r="F558" s="1">
        <v>414632800</v>
      </c>
      <c r="G558" s="1" t="s">
        <v>65</v>
      </c>
      <c r="H558" s="1" t="s">
        <v>35</v>
      </c>
      <c r="I558" s="1" t="s">
        <v>772</v>
      </c>
      <c r="J558" s="1" t="s">
        <v>21</v>
      </c>
      <c r="K558">
        <v>6500</v>
      </c>
      <c r="L558">
        <v>2899</v>
      </c>
      <c r="M558">
        <v>0</v>
      </c>
      <c r="N55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5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58" s="5">
        <v>414632800</v>
      </c>
      <c r="Q558" t="str">
        <f>IF(OR(digital_banking_transactions3[[#This Row],[Nominal_Bersih]]&lt;0,digital_banking_transactions3[[#This Row],[Nominal_Bersih]]=0),"Invalid","Valid")</f>
        <v>Valid</v>
      </c>
      <c r="R55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45486</v>
      </c>
      <c r="S558" s="1" t="str">
        <f>TEXT(digital_banking_transactions3[[#This Row],[Tanggal_Bersih]],"MMMM YYYY")</f>
        <v>July 2024</v>
      </c>
      <c r="T55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5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59" spans="1:21" x14ac:dyDescent="0.35">
      <c r="A559" s="1" t="s">
        <v>2290</v>
      </c>
      <c r="B559" s="1" t="s">
        <v>2291</v>
      </c>
      <c r="C559" s="1" t="s">
        <v>2292</v>
      </c>
      <c r="D559" s="1" t="s">
        <v>167</v>
      </c>
      <c r="E559" s="1" t="s">
        <v>17</v>
      </c>
      <c r="F559" s="1">
        <v>454632</v>
      </c>
      <c r="G559" s="1" t="s">
        <v>41</v>
      </c>
      <c r="H559" s="1" t="s">
        <v>54</v>
      </c>
      <c r="I559" s="1" t="s">
        <v>21</v>
      </c>
      <c r="J559" s="1" t="s">
        <v>21</v>
      </c>
      <c r="K559">
        <v>2500</v>
      </c>
      <c r="L559">
        <v>3406</v>
      </c>
      <c r="M559">
        <v>0</v>
      </c>
      <c r="N55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5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59" s="5">
        <v>454632</v>
      </c>
      <c r="Q559" t="str">
        <f>IF(OR(digital_banking_transactions3[[#This Row],[Nominal_Bersih]]&lt;0,digital_banking_transactions3[[#This Row],[Nominal_Bersih]]=0),"Invalid","Valid")</f>
        <v>Valid</v>
      </c>
      <c r="R55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45441</v>
      </c>
      <c r="S559" s="1" t="str">
        <f>TEXT(digital_banking_transactions3[[#This Row],[Tanggal_Bersih]],"MMMM YYYY")</f>
        <v>May 2024</v>
      </c>
      <c r="T55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5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60" spans="1:21" x14ac:dyDescent="0.35">
      <c r="A560" s="1" t="s">
        <v>2294</v>
      </c>
      <c r="B560" s="1" t="s">
        <v>2295</v>
      </c>
      <c r="C560" s="1" t="s">
        <v>2296</v>
      </c>
      <c r="D560" s="1" t="s">
        <v>58</v>
      </c>
      <c r="E560" s="1" t="s">
        <v>17</v>
      </c>
      <c r="F560" s="4">
        <v>15158973</v>
      </c>
      <c r="G560" s="1" t="s">
        <v>126</v>
      </c>
      <c r="H560" s="1" t="s">
        <v>77</v>
      </c>
      <c r="I560" s="1" t="s">
        <v>21</v>
      </c>
      <c r="J560" s="1" t="s">
        <v>21</v>
      </c>
      <c r="K560">
        <v>2500</v>
      </c>
      <c r="L560">
        <v>2372</v>
      </c>
      <c r="M560">
        <v>0</v>
      </c>
      <c r="N56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6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60" s="5">
        <v>15158973</v>
      </c>
      <c r="Q560" t="str">
        <f>IF(OR(digital_banking_transactions3[[#This Row],[Nominal_Bersih]]&lt;0,digital_banking_transactions3[[#This Row],[Nominal_Bersih]]=0),"Invalid","Valid")</f>
        <v>Valid</v>
      </c>
      <c r="R56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45630</v>
      </c>
      <c r="S560" s="1" t="str">
        <f>TEXT(digital_banking_transactions3[[#This Row],[Tanggal_Bersih]],"MMMM YYYY")</f>
        <v>December 2024</v>
      </c>
      <c r="T56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6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61" spans="1:21" x14ac:dyDescent="0.35">
      <c r="A561" s="1" t="s">
        <v>2298</v>
      </c>
      <c r="B561" s="1" t="s">
        <v>2299</v>
      </c>
      <c r="C561" s="1" t="s">
        <v>2300</v>
      </c>
      <c r="D561" s="1" t="s">
        <v>150</v>
      </c>
      <c r="E561" s="1" t="s">
        <v>32</v>
      </c>
      <c r="F561" s="4">
        <v>30055409</v>
      </c>
      <c r="G561" s="1" t="s">
        <v>89</v>
      </c>
      <c r="H561" s="1" t="s">
        <v>54</v>
      </c>
      <c r="I561" s="1" t="s">
        <v>21</v>
      </c>
      <c r="J561" s="1" t="s">
        <v>121</v>
      </c>
      <c r="K561">
        <v>0</v>
      </c>
      <c r="L561">
        <v>4100</v>
      </c>
      <c r="M561">
        <v>0</v>
      </c>
      <c r="N56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6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61" s="5">
        <v>30055409</v>
      </c>
      <c r="Q561" t="str">
        <f>IF(OR(digital_banking_transactions3[[#This Row],[Nominal_Bersih]]&lt;0,digital_banking_transactions3[[#This Row],[Nominal_Bersih]]=0),"Invalid","Valid")</f>
        <v>Valid</v>
      </c>
      <c r="R56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45451</v>
      </c>
      <c r="S561" s="1" t="str">
        <f>TEXT(digital_banking_transactions3[[#This Row],[Tanggal_Bersih]],"MMMM YYYY")</f>
        <v>June 2024</v>
      </c>
      <c r="T56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6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62" spans="1:21" x14ac:dyDescent="0.35">
      <c r="A562" s="1" t="s">
        <v>2302</v>
      </c>
      <c r="B562" s="1" t="s">
        <v>2303</v>
      </c>
      <c r="C562" s="1" t="s">
        <v>2304</v>
      </c>
      <c r="D562" s="1" t="s">
        <v>25</v>
      </c>
      <c r="E562" s="1" t="s">
        <v>39</v>
      </c>
      <c r="F562" s="1" t="s">
        <v>2305</v>
      </c>
      <c r="G562" s="1" t="s">
        <v>65</v>
      </c>
      <c r="H562" s="1" t="s">
        <v>54</v>
      </c>
      <c r="I562" s="1" t="s">
        <v>21</v>
      </c>
      <c r="J562" s="1" t="s">
        <v>79</v>
      </c>
      <c r="K562">
        <v>7500</v>
      </c>
      <c r="L562">
        <v>3916</v>
      </c>
      <c r="M562">
        <v>1</v>
      </c>
      <c r="N56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6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62" s="5" t="s">
        <v>2305</v>
      </c>
      <c r="Q562" t="str">
        <f>IF(OR(digital_banking_transactions3[[#This Row],[Nominal_Bersih]]&lt;0,digital_banking_transactions3[[#This Row],[Nominal_Bersih]]=0),"Invalid","Valid")</f>
        <v>Valid</v>
      </c>
      <c r="R56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45506</v>
      </c>
      <c r="S562" s="1" t="str">
        <f>TEXT(digital_banking_transactions3[[#This Row],[Tanggal_Bersih]],"MMMM YYYY")</f>
        <v>August 2024</v>
      </c>
      <c r="T56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6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63" spans="1:21" x14ac:dyDescent="0.35">
      <c r="A563" s="1" t="s">
        <v>2306</v>
      </c>
      <c r="B563" s="1" t="s">
        <v>2307</v>
      </c>
      <c r="C563" s="1" t="s">
        <v>2308</v>
      </c>
      <c r="D563" s="1" t="s">
        <v>25</v>
      </c>
      <c r="E563" s="1" t="s">
        <v>17</v>
      </c>
      <c r="F563" s="1">
        <v>763413100</v>
      </c>
      <c r="G563" s="1" t="s">
        <v>264</v>
      </c>
      <c r="H563" s="1" t="s">
        <v>96</v>
      </c>
      <c r="I563" s="1" t="s">
        <v>21</v>
      </c>
      <c r="J563" s="1" t="s">
        <v>21</v>
      </c>
      <c r="K563">
        <v>2500</v>
      </c>
      <c r="L563">
        <v>4435</v>
      </c>
      <c r="M563">
        <v>0</v>
      </c>
      <c r="N56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6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63" s="5">
        <v>763413100</v>
      </c>
      <c r="Q563" t="str">
        <f>IF(OR(digital_banking_transactions3[[#This Row],[Nominal_Bersih]]&lt;0,digital_banking_transactions3[[#This Row],[Nominal_Bersih]]=0),"Invalid","Valid")</f>
        <v>Valid</v>
      </c>
      <c r="R56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45652</v>
      </c>
      <c r="S563" s="1" t="str">
        <f>TEXT(digital_banking_transactions3[[#This Row],[Tanggal_Bersih]],"MMMM YYYY")</f>
        <v>December 2024</v>
      </c>
      <c r="T56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6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64" spans="1:21" x14ac:dyDescent="0.35">
      <c r="A564" s="1" t="s">
        <v>2310</v>
      </c>
      <c r="B564" s="1" t="s">
        <v>2311</v>
      </c>
      <c r="C564" s="1" t="s">
        <v>2312</v>
      </c>
      <c r="D564" s="1" t="s">
        <v>58</v>
      </c>
      <c r="E564" s="1" t="s">
        <v>94</v>
      </c>
      <c r="F564" s="1" t="s">
        <v>2313</v>
      </c>
      <c r="G564" s="1" t="s">
        <v>65</v>
      </c>
      <c r="H564" s="1" t="s">
        <v>20</v>
      </c>
      <c r="I564" s="1" t="s">
        <v>21</v>
      </c>
      <c r="J564" s="1" t="s">
        <v>21</v>
      </c>
      <c r="K564">
        <v>1500</v>
      </c>
      <c r="L564">
        <v>289</v>
      </c>
      <c r="M564">
        <v>0</v>
      </c>
      <c r="N56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6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64" s="5" t="s">
        <v>2313</v>
      </c>
      <c r="Q564" t="str">
        <f>IF(OR(digital_banking_transactions3[[#This Row],[Nominal_Bersih]]&lt;0,digital_banking_transactions3[[#This Row],[Nominal_Bersih]]=0),"Invalid","Valid")</f>
        <v>Valid</v>
      </c>
      <c r="R56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45578</v>
      </c>
      <c r="S564" s="1" t="str">
        <f>TEXT(digital_banking_transactions3[[#This Row],[Tanggal_Bersih]],"MMMM YYYY")</f>
        <v>October 2024</v>
      </c>
      <c r="T56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6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65" spans="1:21" x14ac:dyDescent="0.35">
      <c r="A565" s="1" t="s">
        <v>2314</v>
      </c>
      <c r="B565" s="1" t="s">
        <v>634</v>
      </c>
      <c r="C565" s="1" t="s">
        <v>2315</v>
      </c>
      <c r="D565" s="1" t="s">
        <v>46</v>
      </c>
      <c r="E565" s="1" t="s">
        <v>52</v>
      </c>
      <c r="F565" s="1" t="s">
        <v>2316</v>
      </c>
      <c r="G565" s="1" t="s">
        <v>41</v>
      </c>
      <c r="H565" s="1" t="s">
        <v>20</v>
      </c>
      <c r="I565" s="1" t="s">
        <v>66</v>
      </c>
      <c r="J565" s="1" t="s">
        <v>21</v>
      </c>
      <c r="K565">
        <v>6500</v>
      </c>
      <c r="L565">
        <v>4670</v>
      </c>
      <c r="M565">
        <v>1</v>
      </c>
      <c r="N56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6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65" s="5" t="s">
        <v>2316</v>
      </c>
      <c r="Q565" t="str">
        <f>IF(OR(digital_banking_transactions3[[#This Row],[Nominal_Bersih]]&lt;0,digital_banking_transactions3[[#This Row],[Nominal_Bersih]]=0),"Invalid","Valid")</f>
        <v>Valid</v>
      </c>
      <c r="R56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45608</v>
      </c>
      <c r="S565" s="1" t="str">
        <f>TEXT(digital_banking_transactions3[[#This Row],[Tanggal_Bersih]],"MMMM YYYY")</f>
        <v>November 2024</v>
      </c>
      <c r="T56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6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66" spans="1:21" x14ac:dyDescent="0.35">
      <c r="A566" s="1" t="s">
        <v>2319</v>
      </c>
      <c r="B566" s="1" t="s">
        <v>2320</v>
      </c>
      <c r="C566" s="1" t="s">
        <v>2321</v>
      </c>
      <c r="D566" s="1" t="s">
        <v>25</v>
      </c>
      <c r="E566" s="1" t="s">
        <v>52</v>
      </c>
      <c r="F566" s="1" t="s">
        <v>2322</v>
      </c>
      <c r="G566" s="1" t="s">
        <v>381</v>
      </c>
      <c r="H566" s="1" t="s">
        <v>35</v>
      </c>
      <c r="I566" s="1" t="s">
        <v>2323</v>
      </c>
      <c r="J566" s="1" t="s">
        <v>21</v>
      </c>
      <c r="K566">
        <v>6500</v>
      </c>
      <c r="L566">
        <v>4790</v>
      </c>
      <c r="M566">
        <v>1</v>
      </c>
      <c r="N56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6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66" s="5" t="s">
        <v>2322</v>
      </c>
      <c r="Q566" t="str">
        <f>IF(OR(digital_banking_transactions3[[#This Row],[Nominal_Bersih]]&lt;0,digital_banking_transactions3[[#This Row],[Nominal_Bersih]]=0),"Invalid","Valid")</f>
        <v>Valid</v>
      </c>
      <c r="R56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45488</v>
      </c>
      <c r="S566" s="1" t="str">
        <f>TEXT(digital_banking_transactions3[[#This Row],[Tanggal_Bersih]],"MMMM YYYY")</f>
        <v>July 2024</v>
      </c>
      <c r="T56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6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67" spans="1:21" x14ac:dyDescent="0.35">
      <c r="A567" s="1" t="s">
        <v>2324</v>
      </c>
      <c r="B567" s="1" t="s">
        <v>2325</v>
      </c>
      <c r="C567" s="1" t="s">
        <v>2326</v>
      </c>
      <c r="D567" s="1" t="s">
        <v>58</v>
      </c>
      <c r="E567" s="1" t="s">
        <v>52</v>
      </c>
      <c r="F567" s="1" t="s">
        <v>2327</v>
      </c>
      <c r="G567" s="1" t="s">
        <v>126</v>
      </c>
      <c r="H567" s="1" t="s">
        <v>54</v>
      </c>
      <c r="I567" s="1" t="s">
        <v>131</v>
      </c>
      <c r="J567" s="1" t="s">
        <v>21</v>
      </c>
      <c r="K567">
        <v>6500</v>
      </c>
      <c r="L567">
        <v>2695</v>
      </c>
      <c r="M567">
        <v>0</v>
      </c>
      <c r="N56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6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67" s="5" t="s">
        <v>2327</v>
      </c>
      <c r="Q567" t="str">
        <f>IF(OR(digital_banking_transactions3[[#This Row],[Nominal_Bersih]]&lt;0,digital_banking_transactions3[[#This Row],[Nominal_Bersih]]=0),"Invalid","Valid")</f>
        <v>Valid</v>
      </c>
      <c r="R56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45645</v>
      </c>
      <c r="S567" s="1" t="str">
        <f>TEXT(digital_banking_transactions3[[#This Row],[Tanggal_Bersih]],"MMMM YYYY")</f>
        <v>December 2024</v>
      </c>
      <c r="T56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6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68" spans="1:21" x14ac:dyDescent="0.35">
      <c r="A568" s="1" t="s">
        <v>2328</v>
      </c>
      <c r="B568" s="1" t="s">
        <v>2329</v>
      </c>
      <c r="C568" s="1" t="s">
        <v>2330</v>
      </c>
      <c r="D568" s="1" t="s">
        <v>58</v>
      </c>
      <c r="E568" s="1" t="s">
        <v>17</v>
      </c>
      <c r="F568" s="1">
        <v>3904451</v>
      </c>
      <c r="G568" s="1" t="s">
        <v>19</v>
      </c>
      <c r="H568" s="1" t="s">
        <v>60</v>
      </c>
      <c r="I568" s="1" t="s">
        <v>21</v>
      </c>
      <c r="J568" s="1" t="s">
        <v>21</v>
      </c>
      <c r="K568">
        <v>2500</v>
      </c>
      <c r="L568">
        <v>3167</v>
      </c>
      <c r="M568">
        <v>0</v>
      </c>
      <c r="N56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6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68" s="5">
        <v>3904451</v>
      </c>
      <c r="Q568" t="str">
        <f>IF(OR(digital_banking_transactions3[[#This Row],[Nominal_Bersih]]&lt;0,digital_banking_transactions3[[#This Row],[Nominal_Bersih]]=0),"Invalid","Valid")</f>
        <v>Valid</v>
      </c>
      <c r="R56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45592</v>
      </c>
      <c r="S568" s="1" t="str">
        <f>TEXT(digital_banking_transactions3[[#This Row],[Tanggal_Bersih]],"MMMM YYYY")</f>
        <v>October 2024</v>
      </c>
      <c r="T56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6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69" spans="1:21" x14ac:dyDescent="0.35">
      <c r="A569" s="1" t="s">
        <v>2332</v>
      </c>
      <c r="B569" s="1" t="s">
        <v>2333</v>
      </c>
      <c r="C569" s="1" t="s">
        <v>2334</v>
      </c>
      <c r="D569" s="1" t="s">
        <v>58</v>
      </c>
      <c r="E569" s="1" t="s">
        <v>39</v>
      </c>
      <c r="F569" s="1">
        <v>4633148900</v>
      </c>
      <c r="G569" s="1" t="s">
        <v>126</v>
      </c>
      <c r="H569" s="1" t="s">
        <v>106</v>
      </c>
      <c r="I569" s="1" t="s">
        <v>21</v>
      </c>
      <c r="J569" s="1" t="s">
        <v>21</v>
      </c>
      <c r="K569">
        <v>7500</v>
      </c>
      <c r="L569">
        <v>627</v>
      </c>
      <c r="M569">
        <v>0</v>
      </c>
      <c r="N56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6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69" s="5">
        <v>4633148900</v>
      </c>
      <c r="Q569" t="str">
        <f>IF(OR(digital_banking_transactions3[[#This Row],[Nominal_Bersih]]&lt;0,digital_banking_transactions3[[#This Row],[Nominal_Bersih]]=0),"Invalid","Valid")</f>
        <v>Valid</v>
      </c>
      <c r="R56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45383</v>
      </c>
      <c r="S569" s="1" t="str">
        <f>TEXT(digital_banking_transactions3[[#This Row],[Tanggal_Bersih]],"MMMM YYYY")</f>
        <v>April 2024</v>
      </c>
      <c r="T56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6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70" spans="1:21" x14ac:dyDescent="0.35">
      <c r="A570" s="1" t="s">
        <v>2337</v>
      </c>
      <c r="B570" s="1" t="s">
        <v>1888</v>
      </c>
      <c r="C570" s="1" t="s">
        <v>2338</v>
      </c>
      <c r="D570" s="1" t="s">
        <v>284</v>
      </c>
      <c r="E570" s="1" t="s">
        <v>52</v>
      </c>
      <c r="F570" s="1">
        <v>44824350</v>
      </c>
      <c r="G570" s="1" t="s">
        <v>41</v>
      </c>
      <c r="H570" s="1" t="s">
        <v>54</v>
      </c>
      <c r="I570" s="1" t="s">
        <v>112</v>
      </c>
      <c r="J570" s="1" t="s">
        <v>79</v>
      </c>
      <c r="K570">
        <v>6500</v>
      </c>
      <c r="L570">
        <v>2603</v>
      </c>
      <c r="M570">
        <v>0</v>
      </c>
      <c r="N57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7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70" s="5">
        <v>44824350</v>
      </c>
      <c r="Q570" t="str">
        <f>IF(OR(digital_banking_transactions3[[#This Row],[Nominal_Bersih]]&lt;0,digital_banking_transactions3[[#This Row],[Nominal_Bersih]]=0),"Invalid","Valid")</f>
        <v>Valid</v>
      </c>
      <c r="R57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45457</v>
      </c>
      <c r="S570" s="1" t="str">
        <f>TEXT(digital_banking_transactions3[[#This Row],[Tanggal_Bersih]],"MMMM YYYY")</f>
        <v>June 2024</v>
      </c>
      <c r="T57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7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71" spans="1:21" x14ac:dyDescent="0.35">
      <c r="A571" s="1" t="s">
        <v>2340</v>
      </c>
      <c r="B571" s="1" t="s">
        <v>2341</v>
      </c>
      <c r="C571" s="1" t="s">
        <v>2342</v>
      </c>
      <c r="D571" s="1" t="s">
        <v>25</v>
      </c>
      <c r="E571" s="1" t="s">
        <v>52</v>
      </c>
      <c r="F571" s="1" t="s">
        <v>2343</v>
      </c>
      <c r="G571" s="1" t="s">
        <v>126</v>
      </c>
      <c r="H571" s="1" t="s">
        <v>42</v>
      </c>
      <c r="I571" s="1" t="s">
        <v>138</v>
      </c>
      <c r="J571" s="1" t="s">
        <v>71</v>
      </c>
      <c r="K571">
        <v>6500</v>
      </c>
      <c r="L571">
        <v>795</v>
      </c>
      <c r="M571">
        <v>0</v>
      </c>
      <c r="N57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7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71" s="5" t="s">
        <v>2343</v>
      </c>
      <c r="Q571" t="str">
        <f>IF(OR(digital_banking_transactions3[[#This Row],[Nominal_Bersih]]&lt;0,digital_banking_transactions3[[#This Row],[Nominal_Bersih]]=0),"Invalid","Valid")</f>
        <v>Valid</v>
      </c>
      <c r="R57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45511</v>
      </c>
      <c r="S571" s="1" t="str">
        <f>TEXT(digital_banking_transactions3[[#This Row],[Tanggal_Bersih]],"MMMM YYYY")</f>
        <v>August 2024</v>
      </c>
      <c r="T57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7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72" spans="1:21" x14ac:dyDescent="0.35">
      <c r="A572" s="1" t="s">
        <v>2344</v>
      </c>
      <c r="B572" s="1" t="s">
        <v>2345</v>
      </c>
      <c r="C572" s="1" t="s">
        <v>2346</v>
      </c>
      <c r="D572" s="1" t="s">
        <v>75</v>
      </c>
      <c r="E572" s="1" t="s">
        <v>17</v>
      </c>
      <c r="F572" s="1" t="s">
        <v>2347</v>
      </c>
      <c r="G572" s="1" t="s">
        <v>41</v>
      </c>
      <c r="H572" s="1" t="s">
        <v>54</v>
      </c>
      <c r="I572" s="1" t="s">
        <v>21</v>
      </c>
      <c r="J572" s="1" t="s">
        <v>79</v>
      </c>
      <c r="K572">
        <v>2500</v>
      </c>
      <c r="L572">
        <v>4834</v>
      </c>
      <c r="M572">
        <v>0</v>
      </c>
      <c r="N57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7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72" s="5" t="s">
        <v>2347</v>
      </c>
      <c r="Q572" t="str">
        <f>IF(OR(digital_banking_transactions3[[#This Row],[Nominal_Bersih]]&lt;0,digital_banking_transactions3[[#This Row],[Nominal_Bersih]]=0),"Invalid","Valid")</f>
        <v>Valid</v>
      </c>
      <c r="R57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45655</v>
      </c>
      <c r="S572" s="1" t="str">
        <f>TEXT(digital_banking_transactions3[[#This Row],[Tanggal_Bersih]],"MMMM YYYY")</f>
        <v>December 2024</v>
      </c>
      <c r="T57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7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73" spans="1:21" x14ac:dyDescent="0.35">
      <c r="A573" s="1" t="s">
        <v>2348</v>
      </c>
      <c r="B573" s="1" t="s">
        <v>2349</v>
      </c>
      <c r="C573" s="1" t="s">
        <v>2350</v>
      </c>
      <c r="D573" s="1" t="s">
        <v>75</v>
      </c>
      <c r="E573" s="1" t="s">
        <v>32</v>
      </c>
      <c r="F573" s="1" t="s">
        <v>2351</v>
      </c>
      <c r="G573" s="1" t="s">
        <v>41</v>
      </c>
      <c r="H573" s="1" t="s">
        <v>96</v>
      </c>
      <c r="I573" s="1" t="s">
        <v>21</v>
      </c>
      <c r="J573" s="1" t="s">
        <v>21</v>
      </c>
      <c r="K573">
        <v>0</v>
      </c>
      <c r="L573">
        <v>2042</v>
      </c>
      <c r="M573">
        <v>0</v>
      </c>
      <c r="N57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7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73" s="5" t="s">
        <v>2351</v>
      </c>
      <c r="Q573" t="str">
        <f>IF(OR(digital_banking_transactions3[[#This Row],[Nominal_Bersih]]&lt;0,digital_banking_transactions3[[#This Row],[Nominal_Bersih]]=0),"Invalid","Valid")</f>
        <v>Valid</v>
      </c>
      <c r="R57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45605</v>
      </c>
      <c r="S573" s="1" t="str">
        <f>TEXT(digital_banking_transactions3[[#This Row],[Tanggal_Bersih]],"MMMM YYYY")</f>
        <v>November 2024</v>
      </c>
      <c r="T57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7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74" spans="1:21" x14ac:dyDescent="0.35">
      <c r="A574" s="1" t="s">
        <v>2352</v>
      </c>
      <c r="B574" s="1" t="s">
        <v>2353</v>
      </c>
      <c r="C574" s="1" t="s">
        <v>2354</v>
      </c>
      <c r="D574" s="1" t="s">
        <v>25</v>
      </c>
      <c r="E574" s="1" t="s">
        <v>94</v>
      </c>
      <c r="F574" s="1" t="s">
        <v>2355</v>
      </c>
      <c r="G574" s="1" t="s">
        <v>65</v>
      </c>
      <c r="H574" s="1" t="s">
        <v>35</v>
      </c>
      <c r="I574" s="1" t="s">
        <v>21</v>
      </c>
      <c r="J574" s="1" t="s">
        <v>79</v>
      </c>
      <c r="K574">
        <v>1500</v>
      </c>
      <c r="L574">
        <v>2697</v>
      </c>
      <c r="M574">
        <v>0</v>
      </c>
      <c r="N57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7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74" s="5" t="s">
        <v>2355</v>
      </c>
      <c r="Q574" t="str">
        <f>IF(OR(digital_banking_transactions3[[#This Row],[Nominal_Bersih]]&lt;0,digital_banking_transactions3[[#This Row],[Nominal_Bersih]]=0),"Invalid","Valid")</f>
        <v>Valid</v>
      </c>
      <c r="R57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45294</v>
      </c>
      <c r="S574" s="1" t="str">
        <f>TEXT(digital_banking_transactions3[[#This Row],[Tanggal_Bersih]],"MMMM YYYY")</f>
        <v>January 2024</v>
      </c>
      <c r="T57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7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75" spans="1:21" x14ac:dyDescent="0.35">
      <c r="A575" s="1" t="s">
        <v>2356</v>
      </c>
      <c r="B575" s="1" t="s">
        <v>2357</v>
      </c>
      <c r="C575" s="1" t="s">
        <v>2358</v>
      </c>
      <c r="D575" s="1" t="s">
        <v>93</v>
      </c>
      <c r="E575" s="1" t="s">
        <v>52</v>
      </c>
      <c r="F575" s="1">
        <v>2739576</v>
      </c>
      <c r="G575" s="1" t="s">
        <v>195</v>
      </c>
      <c r="H575" s="1" t="s">
        <v>20</v>
      </c>
      <c r="I575" s="1" t="s">
        <v>21</v>
      </c>
      <c r="J575" s="1" t="s">
        <v>21</v>
      </c>
      <c r="K575">
        <v>6500</v>
      </c>
      <c r="L575">
        <v>2037</v>
      </c>
      <c r="M575">
        <v>0</v>
      </c>
      <c r="N57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7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75" s="5">
        <v>2739576</v>
      </c>
      <c r="Q575" t="str">
        <f>IF(OR(digital_banking_transactions3[[#This Row],[Nominal_Bersih]]&lt;0,digital_banking_transactions3[[#This Row],[Nominal_Bersih]]=0),"Invalid","Valid")</f>
        <v>Valid</v>
      </c>
      <c r="R57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45508</v>
      </c>
      <c r="S575" s="1" t="str">
        <f>TEXT(digital_banking_transactions3[[#This Row],[Tanggal_Bersih]],"MMMM YYYY")</f>
        <v>August 2024</v>
      </c>
      <c r="T57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7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76" spans="1:21" x14ac:dyDescent="0.35">
      <c r="A576" s="1" t="s">
        <v>2360</v>
      </c>
      <c r="B576" s="1" t="s">
        <v>2361</v>
      </c>
      <c r="C576" s="1" t="s">
        <v>2362</v>
      </c>
      <c r="D576" s="1" t="s">
        <v>254</v>
      </c>
      <c r="E576" s="1" t="s">
        <v>32</v>
      </c>
      <c r="F576" s="1" t="s">
        <v>2363</v>
      </c>
      <c r="G576" s="1" t="s">
        <v>65</v>
      </c>
      <c r="H576" s="1" t="s">
        <v>54</v>
      </c>
      <c r="I576" s="1" t="s">
        <v>21</v>
      </c>
      <c r="J576" s="1" t="s">
        <v>121</v>
      </c>
      <c r="K576">
        <v>0</v>
      </c>
      <c r="L576">
        <v>997</v>
      </c>
      <c r="M576">
        <v>0</v>
      </c>
      <c r="N57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7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76" s="5" t="s">
        <v>2363</v>
      </c>
      <c r="Q576" t="str">
        <f>IF(OR(digital_banking_transactions3[[#This Row],[Nominal_Bersih]]&lt;0,digital_banking_transactions3[[#This Row],[Nominal_Bersih]]=0),"Invalid","Valid")</f>
        <v>Valid</v>
      </c>
      <c r="R57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45450</v>
      </c>
      <c r="S576" s="1" t="str">
        <f>TEXT(digital_banking_transactions3[[#This Row],[Tanggal_Bersih]],"MMMM YYYY")</f>
        <v>June 2024</v>
      </c>
      <c r="T57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7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77" spans="1:21" x14ac:dyDescent="0.35">
      <c r="A577" s="1" t="s">
        <v>2364</v>
      </c>
      <c r="B577" s="1" t="s">
        <v>2365</v>
      </c>
      <c r="C577" s="1" t="s">
        <v>2366</v>
      </c>
      <c r="D577" s="1" t="s">
        <v>31</v>
      </c>
      <c r="E577" s="1" t="s">
        <v>32</v>
      </c>
      <c r="F577" s="1">
        <v>29660300</v>
      </c>
      <c r="G577" s="1" t="s">
        <v>485</v>
      </c>
      <c r="H577" s="1" t="s">
        <v>42</v>
      </c>
      <c r="I577" s="1" t="s">
        <v>21</v>
      </c>
      <c r="J577" s="1" t="s">
        <v>21</v>
      </c>
      <c r="K577">
        <v>0</v>
      </c>
      <c r="L577">
        <v>2448</v>
      </c>
      <c r="M577">
        <v>1</v>
      </c>
      <c r="N57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7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77" s="5">
        <v>29660300</v>
      </c>
      <c r="Q577" t="str">
        <f>IF(OR(digital_banking_transactions3[[#This Row],[Nominal_Bersih]]&lt;0,digital_banking_transactions3[[#This Row],[Nominal_Bersih]]=0),"Invalid","Valid")</f>
        <v>Valid</v>
      </c>
      <c r="R57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45622</v>
      </c>
      <c r="S577" s="1" t="str">
        <f>TEXT(digital_banking_transactions3[[#This Row],[Tanggal_Bersih]],"MMMM YYYY")</f>
        <v>November 2024</v>
      </c>
      <c r="T57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7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78" spans="1:21" x14ac:dyDescent="0.35">
      <c r="A578" s="1" t="s">
        <v>2368</v>
      </c>
      <c r="B578" s="1" t="s">
        <v>2369</v>
      </c>
      <c r="C578" s="1" t="s">
        <v>2370</v>
      </c>
      <c r="D578" s="1" t="s">
        <v>135</v>
      </c>
      <c r="E578" s="1" t="s">
        <v>32</v>
      </c>
      <c r="F578" s="1" t="s">
        <v>2371</v>
      </c>
      <c r="G578" s="1" t="s">
        <v>126</v>
      </c>
      <c r="H578" s="1" t="s">
        <v>42</v>
      </c>
      <c r="I578" s="1" t="s">
        <v>21</v>
      </c>
      <c r="J578" s="1" t="s">
        <v>79</v>
      </c>
      <c r="K578">
        <v>0</v>
      </c>
      <c r="L578">
        <v>4669</v>
      </c>
      <c r="M578">
        <v>0</v>
      </c>
      <c r="N57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7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78" s="5" t="s">
        <v>2371</v>
      </c>
      <c r="Q578" t="str">
        <f>IF(OR(digital_banking_transactions3[[#This Row],[Nominal_Bersih]]&lt;0,digital_banking_transactions3[[#This Row],[Nominal_Bersih]]=0),"Invalid","Valid")</f>
        <v>Valid</v>
      </c>
      <c r="R57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45463</v>
      </c>
      <c r="S578" s="1" t="str">
        <f>TEXT(digital_banking_transactions3[[#This Row],[Tanggal_Bersih]],"MMMM YYYY")</f>
        <v>June 2024</v>
      </c>
      <c r="T57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7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79" spans="1:21" x14ac:dyDescent="0.35">
      <c r="A579" s="1" t="s">
        <v>2372</v>
      </c>
      <c r="B579" s="1" t="s">
        <v>1124</v>
      </c>
      <c r="C579" s="1" t="s">
        <v>2373</v>
      </c>
      <c r="D579" s="1" t="s">
        <v>58</v>
      </c>
      <c r="E579" s="1" t="s">
        <v>39</v>
      </c>
      <c r="F579" s="4">
        <v>422159</v>
      </c>
      <c r="G579" s="1" t="s">
        <v>105</v>
      </c>
      <c r="H579" s="1" t="s">
        <v>60</v>
      </c>
      <c r="I579" s="1" t="s">
        <v>21</v>
      </c>
      <c r="J579" s="1" t="s">
        <v>21</v>
      </c>
      <c r="K579">
        <v>7500</v>
      </c>
      <c r="L579">
        <v>850</v>
      </c>
      <c r="M579">
        <v>0</v>
      </c>
      <c r="N57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7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79" s="5">
        <v>422159</v>
      </c>
      <c r="Q579" t="str">
        <f>IF(OR(digital_banking_transactions3[[#This Row],[Nominal_Bersih]]&lt;0,digital_banking_transactions3[[#This Row],[Nominal_Bersih]]=0),"Invalid","Valid")</f>
        <v>Valid</v>
      </c>
      <c r="R57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45466</v>
      </c>
      <c r="S579" s="1" t="str">
        <f>TEXT(digital_banking_transactions3[[#This Row],[Tanggal_Bersih]],"MMMM YYYY")</f>
        <v>June 2024</v>
      </c>
      <c r="T57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7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80" spans="1:21" x14ac:dyDescent="0.35">
      <c r="A580" s="1" t="s">
        <v>2375</v>
      </c>
      <c r="B580" s="1" t="s">
        <v>2376</v>
      </c>
      <c r="C580" s="1" t="s">
        <v>2377</v>
      </c>
      <c r="D580" s="1" t="s">
        <v>31</v>
      </c>
      <c r="E580" s="1" t="s">
        <v>32</v>
      </c>
      <c r="F580" s="1" t="s">
        <v>2378</v>
      </c>
      <c r="G580" s="1" t="s">
        <v>19</v>
      </c>
      <c r="H580" s="1" t="s">
        <v>42</v>
      </c>
      <c r="I580" s="1" t="s">
        <v>21</v>
      </c>
      <c r="J580" s="1" t="s">
        <v>21</v>
      </c>
      <c r="K580">
        <v>0</v>
      </c>
      <c r="L580">
        <v>2222</v>
      </c>
      <c r="M580">
        <v>0</v>
      </c>
      <c r="N58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8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80" s="5" t="s">
        <v>2378</v>
      </c>
      <c r="Q580" t="str">
        <f>IF(OR(digital_banking_transactions3[[#This Row],[Nominal_Bersih]]&lt;0,digital_banking_transactions3[[#This Row],[Nominal_Bersih]]=0),"Invalid","Valid")</f>
        <v>Valid</v>
      </c>
      <c r="R58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45576</v>
      </c>
      <c r="S580" s="1" t="str">
        <f>TEXT(digital_banking_transactions3[[#This Row],[Tanggal_Bersih]],"MMMM YYYY")</f>
        <v>October 2024</v>
      </c>
      <c r="T58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8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81" spans="1:21" x14ac:dyDescent="0.35">
      <c r="A581" s="1" t="s">
        <v>2379</v>
      </c>
      <c r="B581" s="1" t="s">
        <v>2380</v>
      </c>
      <c r="C581" s="1" t="s">
        <v>2381</v>
      </c>
      <c r="D581" s="1" t="s">
        <v>110</v>
      </c>
      <c r="E581" s="1" t="s">
        <v>39</v>
      </c>
      <c r="F581" s="1" t="s">
        <v>2382</v>
      </c>
      <c r="G581" s="1" t="s">
        <v>41</v>
      </c>
      <c r="H581" s="1" t="s">
        <v>77</v>
      </c>
      <c r="I581" s="1" t="s">
        <v>21</v>
      </c>
      <c r="J581" s="1" t="s">
        <v>21</v>
      </c>
      <c r="K581">
        <v>7500</v>
      </c>
      <c r="L581">
        <v>2122</v>
      </c>
      <c r="M581">
        <v>1</v>
      </c>
      <c r="N58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8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81" s="5" t="s">
        <v>2382</v>
      </c>
      <c r="Q581" t="str">
        <f>IF(OR(digital_banking_transactions3[[#This Row],[Nominal_Bersih]]&lt;0,digital_banking_transactions3[[#This Row],[Nominal_Bersih]]=0),"Invalid","Valid")</f>
        <v>Valid</v>
      </c>
      <c r="R58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45328</v>
      </c>
      <c r="S581" s="1" t="str">
        <f>TEXT(digital_banking_transactions3[[#This Row],[Tanggal_Bersih]],"MMMM YYYY")</f>
        <v>February 2024</v>
      </c>
      <c r="T58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8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82" spans="1:21" x14ac:dyDescent="0.35">
      <c r="A582" s="1" t="s">
        <v>2383</v>
      </c>
      <c r="B582" s="1" t="s">
        <v>2384</v>
      </c>
      <c r="C582" s="1" t="s">
        <v>2385</v>
      </c>
      <c r="D582" s="1" t="s">
        <v>58</v>
      </c>
      <c r="E582" s="1" t="s">
        <v>32</v>
      </c>
      <c r="F582" s="1">
        <v>163503400</v>
      </c>
      <c r="G582" s="1" t="s">
        <v>126</v>
      </c>
      <c r="H582" s="1" t="s">
        <v>96</v>
      </c>
      <c r="I582" s="1" t="s">
        <v>21</v>
      </c>
      <c r="J582" s="1" t="s">
        <v>21</v>
      </c>
      <c r="K582">
        <v>0</v>
      </c>
      <c r="L582">
        <v>1212</v>
      </c>
      <c r="M582">
        <v>0</v>
      </c>
      <c r="N58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8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82" s="5">
        <v>163503400</v>
      </c>
      <c r="Q582" t="str">
        <f>IF(OR(digital_banking_transactions3[[#This Row],[Nominal_Bersih]]&lt;0,digital_banking_transactions3[[#This Row],[Nominal_Bersih]]=0),"Invalid","Valid")</f>
        <v>Valid</v>
      </c>
      <c r="R58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45529</v>
      </c>
      <c r="S582" s="1" t="str">
        <f>TEXT(digital_banking_transactions3[[#This Row],[Tanggal_Bersih]],"MMMM YYYY")</f>
        <v>August 2024</v>
      </c>
      <c r="T58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8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83" spans="1:21" x14ac:dyDescent="0.35">
      <c r="A583" s="1" t="s">
        <v>2387</v>
      </c>
      <c r="B583" s="1" t="s">
        <v>266</v>
      </c>
      <c r="C583" s="1" t="s">
        <v>2388</v>
      </c>
      <c r="D583" s="1" t="s">
        <v>16</v>
      </c>
      <c r="E583" s="1" t="s">
        <v>17</v>
      </c>
      <c r="F583" s="1" t="s">
        <v>2389</v>
      </c>
      <c r="G583" s="1" t="s">
        <v>41</v>
      </c>
      <c r="H583" s="1" t="s">
        <v>96</v>
      </c>
      <c r="I583" s="1" t="s">
        <v>21</v>
      </c>
      <c r="J583" s="1" t="s">
        <v>21</v>
      </c>
      <c r="K583">
        <v>2500</v>
      </c>
      <c r="L583">
        <v>1175</v>
      </c>
      <c r="M583">
        <v>0</v>
      </c>
      <c r="N58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8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83" s="5" t="s">
        <v>2389</v>
      </c>
      <c r="Q583" t="str">
        <f>IF(OR(digital_banking_transactions3[[#This Row],[Nominal_Bersih]]&lt;0,digital_banking_transactions3[[#This Row],[Nominal_Bersih]]=0),"Invalid","Valid")</f>
        <v>Valid</v>
      </c>
      <c r="R58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45516</v>
      </c>
      <c r="S583" s="1" t="str">
        <f>TEXT(digital_banking_transactions3[[#This Row],[Tanggal_Bersih]],"MMMM YYYY")</f>
        <v>August 2024</v>
      </c>
      <c r="T58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8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84" spans="1:21" x14ac:dyDescent="0.35">
      <c r="A584" s="1" t="s">
        <v>2390</v>
      </c>
      <c r="B584" s="1" t="s">
        <v>749</v>
      </c>
      <c r="C584" s="1" t="s">
        <v>2391</v>
      </c>
      <c r="D584" s="1" t="s">
        <v>58</v>
      </c>
      <c r="E584" s="1" t="s">
        <v>39</v>
      </c>
      <c r="F584" s="1">
        <v>26938436</v>
      </c>
      <c r="G584" s="1" t="s">
        <v>48</v>
      </c>
      <c r="H584" s="1" t="s">
        <v>106</v>
      </c>
      <c r="I584" s="1" t="s">
        <v>21</v>
      </c>
      <c r="J584" s="1" t="s">
        <v>21</v>
      </c>
      <c r="K584">
        <v>7500</v>
      </c>
      <c r="L584">
        <v>1413</v>
      </c>
      <c r="M584">
        <v>0</v>
      </c>
      <c r="N58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8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84" s="5">
        <v>26938436</v>
      </c>
      <c r="Q584" t="str">
        <f>IF(OR(digital_banking_transactions3[[#This Row],[Nominal_Bersih]]&lt;0,digital_banking_transactions3[[#This Row],[Nominal_Bersih]]=0),"Invalid","Valid")</f>
        <v>Valid</v>
      </c>
      <c r="R58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45308</v>
      </c>
      <c r="S584" s="1" t="str">
        <f>TEXT(digital_banking_transactions3[[#This Row],[Tanggal_Bersih]],"MMMM YYYY")</f>
        <v>January 2024</v>
      </c>
      <c r="T58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8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85" spans="1:21" x14ac:dyDescent="0.35">
      <c r="A585" s="1" t="s">
        <v>2393</v>
      </c>
      <c r="B585" s="1" t="s">
        <v>938</v>
      </c>
      <c r="C585" s="1" t="s">
        <v>2394</v>
      </c>
      <c r="D585" s="1" t="s">
        <v>167</v>
      </c>
      <c r="E585" s="1" t="s">
        <v>52</v>
      </c>
      <c r="F585" s="4">
        <v>10365461</v>
      </c>
      <c r="G585" s="1" t="s">
        <v>48</v>
      </c>
      <c r="H585" s="1" t="s">
        <v>42</v>
      </c>
      <c r="I585" s="1" t="s">
        <v>131</v>
      </c>
      <c r="J585" s="1" t="s">
        <v>21</v>
      </c>
      <c r="K585">
        <v>6500</v>
      </c>
      <c r="L585">
        <v>3892</v>
      </c>
      <c r="M585">
        <v>1</v>
      </c>
      <c r="N58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8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85" s="5">
        <v>10365461</v>
      </c>
      <c r="Q585" t="str">
        <f>IF(OR(digital_banking_transactions3[[#This Row],[Nominal_Bersih]]&lt;0,digital_banking_transactions3[[#This Row],[Nominal_Bersih]]=0),"Invalid","Valid")</f>
        <v>Valid</v>
      </c>
      <c r="R58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45374</v>
      </c>
      <c r="S585" s="1" t="str">
        <f>TEXT(digital_banking_transactions3[[#This Row],[Tanggal_Bersih]],"MMMM YYYY")</f>
        <v>March 2024</v>
      </c>
      <c r="T58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8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86" spans="1:21" x14ac:dyDescent="0.35">
      <c r="A586" s="1" t="s">
        <v>2396</v>
      </c>
      <c r="B586" s="1" t="s">
        <v>2397</v>
      </c>
      <c r="C586" s="1" t="s">
        <v>2398</v>
      </c>
      <c r="D586" s="1" t="s">
        <v>546</v>
      </c>
      <c r="E586" s="1" t="s">
        <v>17</v>
      </c>
      <c r="F586" s="1">
        <v>27053701</v>
      </c>
      <c r="G586" s="1" t="s">
        <v>126</v>
      </c>
      <c r="H586" s="1" t="s">
        <v>42</v>
      </c>
      <c r="I586" s="1" t="s">
        <v>21</v>
      </c>
      <c r="J586" s="1" t="s">
        <v>79</v>
      </c>
      <c r="K586">
        <v>2500</v>
      </c>
      <c r="L586">
        <v>3354</v>
      </c>
      <c r="M586">
        <v>0</v>
      </c>
      <c r="N58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8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86" s="5">
        <v>27053701</v>
      </c>
      <c r="Q586" t="str">
        <f>IF(OR(digital_banking_transactions3[[#This Row],[Nominal_Bersih]]&lt;0,digital_banking_transactions3[[#This Row],[Nominal_Bersih]]=0),"Invalid","Valid")</f>
        <v>Valid</v>
      </c>
      <c r="R58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45498</v>
      </c>
      <c r="S586" s="1" t="str">
        <f>TEXT(digital_banking_transactions3[[#This Row],[Tanggal_Bersih]],"MMMM YYYY")</f>
        <v>July 2024</v>
      </c>
      <c r="T58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8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87" spans="1:21" x14ac:dyDescent="0.35">
      <c r="A587" s="1" t="s">
        <v>2400</v>
      </c>
      <c r="B587" s="1" t="s">
        <v>797</v>
      </c>
      <c r="C587" s="1" t="s">
        <v>2401</v>
      </c>
      <c r="D587" s="1" t="s">
        <v>16</v>
      </c>
      <c r="E587" s="1" t="s">
        <v>39</v>
      </c>
      <c r="F587" s="1" t="s">
        <v>2402</v>
      </c>
      <c r="G587" s="1" t="s">
        <v>195</v>
      </c>
      <c r="H587" s="1" t="s">
        <v>42</v>
      </c>
      <c r="I587" s="1" t="s">
        <v>21</v>
      </c>
      <c r="J587" s="1" t="s">
        <v>21</v>
      </c>
      <c r="K587">
        <v>7500</v>
      </c>
      <c r="L587">
        <v>2612</v>
      </c>
      <c r="M587">
        <v>0</v>
      </c>
      <c r="N58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8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587" s="5" t="s">
        <v>2402</v>
      </c>
      <c r="Q587" t="str">
        <f>IF(OR(digital_banking_transactions3[[#This Row],[Nominal_Bersih]]&lt;0,digital_banking_transactions3[[#This Row],[Nominal_Bersih]]=0),"Invalid","Valid")</f>
        <v>Valid</v>
      </c>
      <c r="R58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45329</v>
      </c>
      <c r="S587" s="1" t="str">
        <f>TEXT(digital_banking_transactions3[[#This Row],[Tanggal_Bersih]],"MMMM YYYY")</f>
        <v>February 2024</v>
      </c>
      <c r="T58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8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88" spans="1:21" x14ac:dyDescent="0.35">
      <c r="A588" s="1" t="s">
        <v>2403</v>
      </c>
      <c r="B588" s="1" t="s">
        <v>1284</v>
      </c>
      <c r="C588" s="1" t="s">
        <v>2404</v>
      </c>
      <c r="D588" s="1" t="s">
        <v>75</v>
      </c>
      <c r="E588" s="1" t="s">
        <v>32</v>
      </c>
      <c r="F588" s="1" t="s">
        <v>2405</v>
      </c>
      <c r="G588" s="1" t="s">
        <v>126</v>
      </c>
      <c r="H588" s="1" t="s">
        <v>20</v>
      </c>
      <c r="I588" s="1" t="s">
        <v>21</v>
      </c>
      <c r="J588" s="1" t="s">
        <v>71</v>
      </c>
      <c r="K588">
        <v>0</v>
      </c>
      <c r="L588">
        <v>2263</v>
      </c>
      <c r="M588">
        <v>0</v>
      </c>
      <c r="N58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8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88" s="5" t="s">
        <v>2405</v>
      </c>
      <c r="Q588" t="str">
        <f>IF(OR(digital_banking_transactions3[[#This Row],[Nominal_Bersih]]&lt;0,digital_banking_transactions3[[#This Row],[Nominal_Bersih]]=0),"Invalid","Valid")</f>
        <v>Valid</v>
      </c>
      <c r="R58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45342</v>
      </c>
      <c r="S588" s="1" t="str">
        <f>TEXT(digital_banking_transactions3[[#This Row],[Tanggal_Bersih]],"MMMM YYYY")</f>
        <v>February 2024</v>
      </c>
      <c r="T58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8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89" spans="1:21" x14ac:dyDescent="0.35">
      <c r="A589" s="1" t="s">
        <v>2406</v>
      </c>
      <c r="B589" s="1" t="s">
        <v>2407</v>
      </c>
      <c r="C589" s="1" t="s">
        <v>2408</v>
      </c>
      <c r="D589" s="1" t="s">
        <v>58</v>
      </c>
      <c r="E589" s="1" t="s">
        <v>17</v>
      </c>
      <c r="F589" s="4">
        <v>392290</v>
      </c>
      <c r="G589" s="1" t="s">
        <v>34</v>
      </c>
      <c r="H589" s="1" t="s">
        <v>60</v>
      </c>
      <c r="I589" s="1" t="s">
        <v>21</v>
      </c>
      <c r="J589" s="1" t="s">
        <v>21</v>
      </c>
      <c r="K589">
        <v>2500</v>
      </c>
      <c r="L589">
        <v>2412</v>
      </c>
      <c r="M589">
        <v>0</v>
      </c>
      <c r="N58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8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89" s="5">
        <v>392290</v>
      </c>
      <c r="Q589" t="str">
        <f>IF(OR(digital_banking_transactions3[[#This Row],[Nominal_Bersih]]&lt;0,digital_banking_transactions3[[#This Row],[Nominal_Bersih]]=0),"Invalid","Valid")</f>
        <v>Valid</v>
      </c>
      <c r="R58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45424</v>
      </c>
      <c r="S589" s="1" t="str">
        <f>TEXT(digital_banking_transactions3[[#This Row],[Tanggal_Bersih]],"MMMM YYYY")</f>
        <v>May 2024</v>
      </c>
      <c r="T58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8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90" spans="1:21" x14ac:dyDescent="0.35">
      <c r="A590" s="1" t="s">
        <v>2410</v>
      </c>
      <c r="B590" s="1" t="s">
        <v>2411</v>
      </c>
      <c r="C590" s="1" t="s">
        <v>2412</v>
      </c>
      <c r="D590" s="1" t="s">
        <v>135</v>
      </c>
      <c r="E590" s="1" t="s">
        <v>17</v>
      </c>
      <c r="F590" s="1" t="s">
        <v>2413</v>
      </c>
      <c r="G590" s="1" t="s">
        <v>105</v>
      </c>
      <c r="H590" s="1" t="s">
        <v>35</v>
      </c>
      <c r="I590" s="1" t="s">
        <v>21</v>
      </c>
      <c r="J590" s="1" t="s">
        <v>79</v>
      </c>
      <c r="K590">
        <v>2500</v>
      </c>
      <c r="L590">
        <v>1965</v>
      </c>
      <c r="M590">
        <v>0</v>
      </c>
      <c r="N59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9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90" s="5" t="s">
        <v>2413</v>
      </c>
      <c r="Q590" t="str">
        <f>IF(OR(digital_banking_transactions3[[#This Row],[Nominal_Bersih]]&lt;0,digital_banking_transactions3[[#This Row],[Nominal_Bersih]]=0),"Invalid","Valid")</f>
        <v>Valid</v>
      </c>
      <c r="R59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45497</v>
      </c>
      <c r="S590" s="1" t="str">
        <f>TEXT(digital_banking_transactions3[[#This Row],[Tanggal_Bersih]],"MMMM YYYY")</f>
        <v>July 2024</v>
      </c>
      <c r="T59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9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91" spans="1:21" x14ac:dyDescent="0.35">
      <c r="A591" s="1" t="s">
        <v>2414</v>
      </c>
      <c r="B591" s="1" t="s">
        <v>2415</v>
      </c>
      <c r="C591" s="1" t="s">
        <v>2416</v>
      </c>
      <c r="D591" s="1" t="s">
        <v>93</v>
      </c>
      <c r="E591" s="1" t="s">
        <v>32</v>
      </c>
      <c r="F591" s="1" t="s">
        <v>2417</v>
      </c>
      <c r="G591" s="1" t="s">
        <v>65</v>
      </c>
      <c r="H591" s="1" t="s">
        <v>60</v>
      </c>
      <c r="I591" s="1" t="s">
        <v>21</v>
      </c>
      <c r="J591" s="1" t="s">
        <v>121</v>
      </c>
      <c r="K591">
        <v>0</v>
      </c>
      <c r="L591">
        <v>3268</v>
      </c>
      <c r="M591">
        <v>0</v>
      </c>
      <c r="N59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9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91" s="5" t="s">
        <v>2417</v>
      </c>
      <c r="Q591" t="str">
        <f>IF(OR(digital_banking_transactions3[[#This Row],[Nominal_Bersih]]&lt;0,digital_banking_transactions3[[#This Row],[Nominal_Bersih]]=0),"Invalid","Valid")</f>
        <v>Valid</v>
      </c>
      <c r="R59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45617</v>
      </c>
      <c r="S591" s="1" t="str">
        <f>TEXT(digital_banking_transactions3[[#This Row],[Tanggal_Bersih]],"MMMM YYYY")</f>
        <v>November 2024</v>
      </c>
      <c r="T59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9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92" spans="1:21" x14ac:dyDescent="0.35">
      <c r="A592" s="1" t="s">
        <v>2418</v>
      </c>
      <c r="B592" s="1" t="s">
        <v>2419</v>
      </c>
      <c r="C592" s="1" t="s">
        <v>2420</v>
      </c>
      <c r="D592" s="1" t="s">
        <v>58</v>
      </c>
      <c r="E592" s="1" t="s">
        <v>17</v>
      </c>
      <c r="F592" s="1">
        <v>9764200</v>
      </c>
      <c r="G592" s="1" t="s">
        <v>41</v>
      </c>
      <c r="H592" s="1" t="s">
        <v>106</v>
      </c>
      <c r="I592" s="1" t="s">
        <v>21</v>
      </c>
      <c r="J592" s="1" t="s">
        <v>21</v>
      </c>
      <c r="K592">
        <v>2500</v>
      </c>
      <c r="L592">
        <v>748</v>
      </c>
      <c r="M592">
        <v>0</v>
      </c>
      <c r="N59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9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92" s="5">
        <v>9764200</v>
      </c>
      <c r="Q592" t="str">
        <f>IF(OR(digital_banking_transactions3[[#This Row],[Nominal_Bersih]]&lt;0,digital_banking_transactions3[[#This Row],[Nominal_Bersih]]=0),"Invalid","Valid")</f>
        <v>Valid</v>
      </c>
      <c r="R59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45584</v>
      </c>
      <c r="S592" s="1" t="str">
        <f>TEXT(digital_banking_transactions3[[#This Row],[Tanggal_Bersih]],"MMMM YYYY")</f>
        <v>October 2024</v>
      </c>
      <c r="T59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9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93" spans="1:21" x14ac:dyDescent="0.35">
      <c r="A593" s="1" t="s">
        <v>2422</v>
      </c>
      <c r="B593" s="1" t="s">
        <v>2423</v>
      </c>
      <c r="C593" s="1" t="s">
        <v>2424</v>
      </c>
      <c r="D593" s="1" t="s">
        <v>75</v>
      </c>
      <c r="E593" s="1" t="s">
        <v>94</v>
      </c>
      <c r="F593" s="1">
        <v>2495748</v>
      </c>
      <c r="G593" s="1" t="s">
        <v>264</v>
      </c>
      <c r="H593" s="1" t="s">
        <v>54</v>
      </c>
      <c r="I593" s="1" t="s">
        <v>21</v>
      </c>
      <c r="J593" s="1" t="s">
        <v>79</v>
      </c>
      <c r="K593">
        <v>1500</v>
      </c>
      <c r="L593">
        <v>2288</v>
      </c>
      <c r="M593">
        <v>0</v>
      </c>
      <c r="N59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9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93" s="5">
        <v>2495748</v>
      </c>
      <c r="Q593" t="str">
        <f>IF(OR(digital_banking_transactions3[[#This Row],[Nominal_Bersih]]&lt;0,digital_banking_transactions3[[#This Row],[Nominal_Bersih]]=0),"Invalid","Valid")</f>
        <v>Valid</v>
      </c>
      <c r="R59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45640</v>
      </c>
      <c r="S593" s="1" t="str">
        <f>TEXT(digital_banking_transactions3[[#This Row],[Tanggal_Bersih]],"MMMM YYYY")</f>
        <v>December 2024</v>
      </c>
      <c r="T59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9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94" spans="1:21" x14ac:dyDescent="0.35">
      <c r="A594" s="1" t="s">
        <v>2426</v>
      </c>
      <c r="B594" s="1" t="s">
        <v>2427</v>
      </c>
      <c r="C594" s="1" t="s">
        <v>2428</v>
      </c>
      <c r="D594" s="1" t="s">
        <v>25</v>
      </c>
      <c r="E594" s="1" t="s">
        <v>94</v>
      </c>
      <c r="F594" s="1">
        <v>203273</v>
      </c>
      <c r="G594" s="1" t="s">
        <v>381</v>
      </c>
      <c r="H594" s="1" t="s">
        <v>106</v>
      </c>
      <c r="I594" s="1" t="s">
        <v>21</v>
      </c>
      <c r="J594" s="1" t="s">
        <v>208</v>
      </c>
      <c r="K594">
        <v>1500</v>
      </c>
      <c r="L594">
        <v>1738</v>
      </c>
      <c r="M594">
        <v>0</v>
      </c>
      <c r="N59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9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94" s="5">
        <v>203273</v>
      </c>
      <c r="Q594" t="str">
        <f>IF(OR(digital_banking_transactions3[[#This Row],[Nominal_Bersih]]&lt;0,digital_banking_transactions3[[#This Row],[Nominal_Bersih]]=0),"Invalid","Valid")</f>
        <v>Valid</v>
      </c>
      <c r="R59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45429</v>
      </c>
      <c r="S594" s="1" t="str">
        <f>TEXT(digital_banking_transactions3[[#This Row],[Tanggal_Bersih]],"MMMM YYYY")</f>
        <v>May 2024</v>
      </c>
      <c r="T59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9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95" spans="1:21" x14ac:dyDescent="0.35">
      <c r="A595" s="1" t="s">
        <v>2430</v>
      </c>
      <c r="B595" s="1" t="s">
        <v>2431</v>
      </c>
      <c r="C595" s="1" t="s">
        <v>2432</v>
      </c>
      <c r="D595" s="1" t="s">
        <v>254</v>
      </c>
      <c r="E595" s="1" t="s">
        <v>32</v>
      </c>
      <c r="F595" s="1">
        <v>36707272</v>
      </c>
      <c r="G595" s="1" t="s">
        <v>485</v>
      </c>
      <c r="H595" s="1" t="s">
        <v>42</v>
      </c>
      <c r="I595" s="1" t="s">
        <v>21</v>
      </c>
      <c r="J595" s="1" t="s">
        <v>121</v>
      </c>
      <c r="K595">
        <v>0</v>
      </c>
      <c r="L595">
        <v>1409</v>
      </c>
      <c r="M595">
        <v>0</v>
      </c>
      <c r="N59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9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95" s="5">
        <v>36707272</v>
      </c>
      <c r="Q595" t="str">
        <f>IF(OR(digital_banking_transactions3[[#This Row],[Nominal_Bersih]]&lt;0,digital_banking_transactions3[[#This Row],[Nominal_Bersih]]=0),"Invalid","Valid")</f>
        <v>Valid</v>
      </c>
      <c r="R59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45542</v>
      </c>
      <c r="S595" s="1" t="str">
        <f>TEXT(digital_banking_transactions3[[#This Row],[Tanggal_Bersih]],"MMMM YYYY")</f>
        <v>September 2024</v>
      </c>
      <c r="T59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9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96" spans="1:21" x14ac:dyDescent="0.35">
      <c r="A596" s="1" t="s">
        <v>2434</v>
      </c>
      <c r="B596" s="1" t="s">
        <v>1373</v>
      </c>
      <c r="C596" s="1" t="s">
        <v>2435</v>
      </c>
      <c r="D596" s="1" t="s">
        <v>254</v>
      </c>
      <c r="E596" s="1" t="s">
        <v>52</v>
      </c>
      <c r="F596" s="1" t="s">
        <v>2436</v>
      </c>
      <c r="G596" s="1" t="s">
        <v>264</v>
      </c>
      <c r="H596" s="1" t="s">
        <v>96</v>
      </c>
      <c r="I596" s="1" t="s">
        <v>78</v>
      </c>
      <c r="J596" s="1" t="s">
        <v>79</v>
      </c>
      <c r="K596">
        <v>6500</v>
      </c>
      <c r="L596">
        <v>2608</v>
      </c>
      <c r="M596">
        <v>0</v>
      </c>
      <c r="N59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59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96" s="5" t="s">
        <v>2436</v>
      </c>
      <c r="Q596" t="str">
        <f>IF(OR(digital_banking_transactions3[[#This Row],[Nominal_Bersih]]&lt;0,digital_banking_transactions3[[#This Row],[Nominal_Bersih]]=0),"Invalid","Valid")</f>
        <v>Valid</v>
      </c>
      <c r="R59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45472</v>
      </c>
      <c r="S596" s="1" t="str">
        <f>TEXT(digital_banking_transactions3[[#This Row],[Tanggal_Bersih]],"MMMM YYYY")</f>
        <v>June 2024</v>
      </c>
      <c r="T59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59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97" spans="1:21" x14ac:dyDescent="0.35">
      <c r="A597" s="1" t="s">
        <v>2437</v>
      </c>
      <c r="B597" s="1" t="s">
        <v>2438</v>
      </c>
      <c r="C597" s="1" t="s">
        <v>2439</v>
      </c>
      <c r="D597" s="1" t="s">
        <v>546</v>
      </c>
      <c r="E597" s="1" t="s">
        <v>17</v>
      </c>
      <c r="F597" s="4">
        <v>41063544</v>
      </c>
      <c r="G597" s="1" t="s">
        <v>41</v>
      </c>
      <c r="H597" s="1" t="s">
        <v>54</v>
      </c>
      <c r="I597" s="1" t="s">
        <v>21</v>
      </c>
      <c r="J597" s="1" t="s">
        <v>79</v>
      </c>
      <c r="K597">
        <v>2500</v>
      </c>
      <c r="L597">
        <v>2007</v>
      </c>
      <c r="M597">
        <v>0</v>
      </c>
      <c r="N59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9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597" s="5">
        <v>41063544</v>
      </c>
      <c r="Q597" t="str">
        <f>IF(OR(digital_banking_transactions3[[#This Row],[Nominal_Bersih]]&lt;0,digital_banking_transactions3[[#This Row],[Nominal_Bersih]]=0),"Invalid","Valid")</f>
        <v>Valid</v>
      </c>
      <c r="R59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45321</v>
      </c>
      <c r="S597" s="1" t="str">
        <f>TEXT(digital_banking_transactions3[[#This Row],[Tanggal_Bersih]],"MMMM YYYY")</f>
        <v>January 2024</v>
      </c>
      <c r="T59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59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98" spans="1:21" x14ac:dyDescent="0.35">
      <c r="A598" s="1" t="s">
        <v>2441</v>
      </c>
      <c r="B598" s="1" t="s">
        <v>2442</v>
      </c>
      <c r="C598" s="1" t="s">
        <v>2443</v>
      </c>
      <c r="D598" s="1" t="s">
        <v>93</v>
      </c>
      <c r="E598" s="1" t="s">
        <v>52</v>
      </c>
      <c r="F598" s="1" t="s">
        <v>2444</v>
      </c>
      <c r="G598" s="1" t="s">
        <v>41</v>
      </c>
      <c r="H598" s="1" t="s">
        <v>20</v>
      </c>
      <c r="I598" s="1" t="s">
        <v>21</v>
      </c>
      <c r="J598" s="1" t="s">
        <v>21</v>
      </c>
      <c r="K598">
        <v>6500</v>
      </c>
      <c r="L598">
        <v>4799</v>
      </c>
      <c r="M598">
        <v>0</v>
      </c>
      <c r="N59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59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598" s="5" t="s">
        <v>2444</v>
      </c>
      <c r="Q598" t="str">
        <f>IF(OR(digital_banking_transactions3[[#This Row],[Nominal_Bersih]]&lt;0,digital_banking_transactions3[[#This Row],[Nominal_Bersih]]=0),"Invalid","Valid")</f>
        <v>Valid</v>
      </c>
      <c r="R59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45526</v>
      </c>
      <c r="S598" s="1" t="str">
        <f>TEXT(digital_banking_transactions3[[#This Row],[Tanggal_Bersih]],"MMMM YYYY")</f>
        <v>August 2024</v>
      </c>
      <c r="T59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59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599" spans="1:21" x14ac:dyDescent="0.35">
      <c r="A599" s="1" t="s">
        <v>2445</v>
      </c>
      <c r="B599" s="1" t="s">
        <v>2446</v>
      </c>
      <c r="C599" s="1" t="s">
        <v>2447</v>
      </c>
      <c r="D599" s="1" t="s">
        <v>58</v>
      </c>
      <c r="E599" s="1" t="s">
        <v>17</v>
      </c>
      <c r="F599" s="4">
        <v>4544344</v>
      </c>
      <c r="G599" s="1" t="s">
        <v>126</v>
      </c>
      <c r="H599" s="1" t="s">
        <v>77</v>
      </c>
      <c r="I599" s="1" t="s">
        <v>21</v>
      </c>
      <c r="J599" s="1" t="s">
        <v>21</v>
      </c>
      <c r="K599">
        <v>2500</v>
      </c>
      <c r="L599">
        <v>4654</v>
      </c>
      <c r="M599">
        <v>0</v>
      </c>
      <c r="N59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59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599" s="5">
        <v>4544344</v>
      </c>
      <c r="Q599" t="str">
        <f>IF(OR(digital_banking_transactions3[[#This Row],[Nominal_Bersih]]&lt;0,digital_banking_transactions3[[#This Row],[Nominal_Bersih]]=0),"Invalid","Valid")</f>
        <v>Valid</v>
      </c>
      <c r="R59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45624</v>
      </c>
      <c r="S599" s="1" t="str">
        <f>TEXT(digital_banking_transactions3[[#This Row],[Tanggal_Bersih]],"MMMM YYYY")</f>
        <v>November 2024</v>
      </c>
      <c r="T59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59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00" spans="1:21" x14ac:dyDescent="0.35">
      <c r="A600" s="1" t="s">
        <v>2449</v>
      </c>
      <c r="B600" s="1" t="s">
        <v>2450</v>
      </c>
      <c r="C600" s="1" t="s">
        <v>2451</v>
      </c>
      <c r="D600" s="1" t="s">
        <v>25</v>
      </c>
      <c r="E600" s="1" t="s">
        <v>39</v>
      </c>
      <c r="F600" s="1">
        <v>121187800</v>
      </c>
      <c r="G600" s="1" t="s">
        <v>126</v>
      </c>
      <c r="H600" s="1" t="s">
        <v>96</v>
      </c>
      <c r="I600" s="1" t="s">
        <v>21</v>
      </c>
      <c r="J600" s="1" t="s">
        <v>21</v>
      </c>
      <c r="K600">
        <v>7500</v>
      </c>
      <c r="L600">
        <v>52235</v>
      </c>
      <c r="M600">
        <v>0</v>
      </c>
      <c r="N60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0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00" s="5">
        <v>121187800</v>
      </c>
      <c r="Q600" t="str">
        <f>IF(OR(digital_banking_transactions3[[#This Row],[Nominal_Bersih]]&lt;0,digital_banking_transactions3[[#This Row],[Nominal_Bersih]]=0),"Invalid","Valid")</f>
        <v>Valid</v>
      </c>
      <c r="R60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45312</v>
      </c>
      <c r="S600" s="1" t="str">
        <f>TEXT(digital_banking_transactions3[[#This Row],[Tanggal_Bersih]],"MMMM YYYY")</f>
        <v>January 2024</v>
      </c>
      <c r="T60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0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601" spans="1:21" x14ac:dyDescent="0.35">
      <c r="A601" s="1" t="s">
        <v>2453</v>
      </c>
      <c r="B601" s="1" t="s">
        <v>2454</v>
      </c>
      <c r="C601" s="1" t="s">
        <v>566</v>
      </c>
      <c r="D601" s="1" t="s">
        <v>110</v>
      </c>
      <c r="E601" s="1" t="s">
        <v>17</v>
      </c>
      <c r="F601" s="4">
        <v>4916047</v>
      </c>
      <c r="G601" s="1" t="s">
        <v>65</v>
      </c>
      <c r="H601" s="1" t="s">
        <v>35</v>
      </c>
      <c r="I601" s="1" t="s">
        <v>21</v>
      </c>
      <c r="J601" s="1" t="s">
        <v>21</v>
      </c>
      <c r="K601">
        <v>2500</v>
      </c>
      <c r="L601">
        <v>3157</v>
      </c>
      <c r="M601">
        <v>0</v>
      </c>
      <c r="N60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0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01" s="5">
        <v>4916047</v>
      </c>
      <c r="Q601" t="str">
        <f>IF(OR(digital_banking_transactions3[[#This Row],[Nominal_Bersih]]&lt;0,digital_banking_transactions3[[#This Row],[Nominal_Bersih]]=0),"Invalid","Valid")</f>
        <v>Valid</v>
      </c>
      <c r="R60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45404</v>
      </c>
      <c r="S601" s="1" t="str">
        <f>TEXT(digital_banking_transactions3[[#This Row],[Tanggal_Bersih]],"MMMM YYYY")</f>
        <v>April 2024</v>
      </c>
      <c r="T60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0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02" spans="1:21" x14ac:dyDescent="0.35">
      <c r="A602" s="1" t="s">
        <v>2456</v>
      </c>
      <c r="B602" s="1" t="s">
        <v>2457</v>
      </c>
      <c r="C602" s="1" t="s">
        <v>2458</v>
      </c>
      <c r="D602" s="1" t="s">
        <v>150</v>
      </c>
      <c r="E602" s="1" t="s">
        <v>52</v>
      </c>
      <c r="F602" s="1">
        <v>304910</v>
      </c>
      <c r="G602" s="1" t="s">
        <v>485</v>
      </c>
      <c r="H602" s="1" t="s">
        <v>20</v>
      </c>
      <c r="I602" s="1" t="s">
        <v>291</v>
      </c>
      <c r="J602" s="1" t="s">
        <v>79</v>
      </c>
      <c r="K602">
        <v>6500</v>
      </c>
      <c r="L602">
        <v>4481</v>
      </c>
      <c r="M602">
        <v>1</v>
      </c>
      <c r="N60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0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02" s="5">
        <v>304910</v>
      </c>
      <c r="Q602" t="str">
        <f>IF(OR(digital_banking_transactions3[[#This Row],[Nominal_Bersih]]&lt;0,digital_banking_transactions3[[#This Row],[Nominal_Bersih]]=0),"Invalid","Valid")</f>
        <v>Valid</v>
      </c>
      <c r="R60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45452</v>
      </c>
      <c r="S602" s="1" t="str">
        <f>TEXT(digital_banking_transactions3[[#This Row],[Tanggal_Bersih]],"MMMM YYYY")</f>
        <v>June 2024</v>
      </c>
      <c r="T60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0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03" spans="1:21" x14ac:dyDescent="0.35">
      <c r="A603" s="1" t="s">
        <v>2460</v>
      </c>
      <c r="B603" s="1" t="s">
        <v>2461</v>
      </c>
      <c r="C603" s="1" t="s">
        <v>1571</v>
      </c>
      <c r="D603" s="1" t="s">
        <v>58</v>
      </c>
      <c r="E603" s="1" t="s">
        <v>94</v>
      </c>
      <c r="F603" s="1">
        <v>35197105</v>
      </c>
      <c r="G603" s="1" t="s">
        <v>126</v>
      </c>
      <c r="H603" s="1" t="s">
        <v>77</v>
      </c>
      <c r="I603" s="1" t="s">
        <v>21</v>
      </c>
      <c r="J603" s="1" t="s">
        <v>21</v>
      </c>
      <c r="K603">
        <v>1500</v>
      </c>
      <c r="L603">
        <v>3504</v>
      </c>
      <c r="M603">
        <v>0</v>
      </c>
      <c r="N60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0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03" s="5">
        <v>35197105</v>
      </c>
      <c r="Q603" t="str">
        <f>IF(OR(digital_banking_transactions3[[#This Row],[Nominal_Bersih]]&lt;0,digital_banking_transactions3[[#This Row],[Nominal_Bersih]]=0),"Invalid","Valid")</f>
        <v>Valid</v>
      </c>
      <c r="R60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45528</v>
      </c>
      <c r="S603" s="1" t="str">
        <f>TEXT(digital_banking_transactions3[[#This Row],[Tanggal_Bersih]],"MMMM YYYY")</f>
        <v>August 2024</v>
      </c>
      <c r="T60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0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04" spans="1:21" x14ac:dyDescent="0.35">
      <c r="A604" s="1" t="s">
        <v>2463</v>
      </c>
      <c r="B604" s="1" t="s">
        <v>2464</v>
      </c>
      <c r="C604" s="1" t="s">
        <v>2465</v>
      </c>
      <c r="D604" s="1" t="s">
        <v>25</v>
      </c>
      <c r="E604" s="1" t="s">
        <v>32</v>
      </c>
      <c r="F604" s="1" t="s">
        <v>2466</v>
      </c>
      <c r="G604" s="1" t="s">
        <v>41</v>
      </c>
      <c r="H604" s="1" t="s">
        <v>106</v>
      </c>
      <c r="I604" s="1" t="s">
        <v>21</v>
      </c>
      <c r="J604" s="1" t="s">
        <v>121</v>
      </c>
      <c r="K604">
        <v>0</v>
      </c>
      <c r="L604">
        <v>1397</v>
      </c>
      <c r="M604">
        <v>0</v>
      </c>
      <c r="N60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0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04" s="5" t="s">
        <v>2466</v>
      </c>
      <c r="Q604" t="str">
        <f>IF(OR(digital_banking_transactions3[[#This Row],[Nominal_Bersih]]&lt;0,digital_banking_transactions3[[#This Row],[Nominal_Bersih]]=0),"Invalid","Valid")</f>
        <v>Valid</v>
      </c>
      <c r="R60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45568</v>
      </c>
      <c r="S604" s="1" t="str">
        <f>TEXT(digital_banking_transactions3[[#This Row],[Tanggal_Bersih]],"MMMM YYYY")</f>
        <v>October 2024</v>
      </c>
      <c r="T60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0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05" spans="1:21" x14ac:dyDescent="0.35">
      <c r="A605" s="1" t="s">
        <v>2467</v>
      </c>
      <c r="B605" s="1" t="s">
        <v>2468</v>
      </c>
      <c r="C605" s="1" t="s">
        <v>2469</v>
      </c>
      <c r="D605" s="1" t="s">
        <v>16</v>
      </c>
      <c r="E605" s="1" t="s">
        <v>94</v>
      </c>
      <c r="F605" s="1" t="s">
        <v>2470</v>
      </c>
      <c r="G605" s="1" t="s">
        <v>126</v>
      </c>
      <c r="H605" s="1" t="s">
        <v>35</v>
      </c>
      <c r="I605" s="1" t="s">
        <v>21</v>
      </c>
      <c r="J605" s="1" t="s">
        <v>21</v>
      </c>
      <c r="K605">
        <v>1500</v>
      </c>
      <c r="L605">
        <v>4008</v>
      </c>
      <c r="M605">
        <v>0</v>
      </c>
      <c r="N60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0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05" s="5" t="s">
        <v>2470</v>
      </c>
      <c r="Q605" t="str">
        <f>IF(OR(digital_banking_transactions3[[#This Row],[Nominal_Bersih]]&lt;0,digital_banking_transactions3[[#This Row],[Nominal_Bersih]]=0),"Invalid","Valid")</f>
        <v>Valid</v>
      </c>
      <c r="R60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45558</v>
      </c>
      <c r="S605" s="1" t="str">
        <f>TEXT(digital_banking_transactions3[[#This Row],[Tanggal_Bersih]],"MMMM YYYY")</f>
        <v>September 2024</v>
      </c>
      <c r="T60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0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06" spans="1:21" x14ac:dyDescent="0.35">
      <c r="A606" s="1" t="s">
        <v>2471</v>
      </c>
      <c r="B606" s="1" t="s">
        <v>2472</v>
      </c>
      <c r="C606" s="1" t="s">
        <v>2473</v>
      </c>
      <c r="D606" s="1" t="s">
        <v>75</v>
      </c>
      <c r="E606" s="1" t="s">
        <v>52</v>
      </c>
      <c r="F606" s="1" t="s">
        <v>2474</v>
      </c>
      <c r="G606" s="1" t="s">
        <v>65</v>
      </c>
      <c r="H606" s="1" t="s">
        <v>60</v>
      </c>
      <c r="I606" s="1" t="s">
        <v>112</v>
      </c>
      <c r="J606" s="1" t="s">
        <v>21</v>
      </c>
      <c r="K606">
        <v>6500</v>
      </c>
      <c r="L606">
        <v>4216</v>
      </c>
      <c r="M606">
        <v>0</v>
      </c>
      <c r="N60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0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06" s="5" t="s">
        <v>2474</v>
      </c>
      <c r="Q606" t="str">
        <f>IF(OR(digital_banking_transactions3[[#This Row],[Nominal_Bersih]]&lt;0,digital_banking_transactions3[[#This Row],[Nominal_Bersih]]=0),"Invalid","Valid")</f>
        <v>Valid</v>
      </c>
      <c r="R60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45354</v>
      </c>
      <c r="S606" s="1" t="str">
        <f>TEXT(digital_banking_transactions3[[#This Row],[Tanggal_Bersih]],"MMMM YYYY")</f>
        <v>March 2024</v>
      </c>
      <c r="T60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0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07" spans="1:21" x14ac:dyDescent="0.35">
      <c r="A607" s="1" t="s">
        <v>2475</v>
      </c>
      <c r="B607" s="1" t="s">
        <v>2476</v>
      </c>
      <c r="C607" s="1" t="s">
        <v>2477</v>
      </c>
      <c r="D607" s="1" t="s">
        <v>16</v>
      </c>
      <c r="E607" s="1" t="s">
        <v>94</v>
      </c>
      <c r="F607" s="4">
        <v>9890947</v>
      </c>
      <c r="G607" s="1" t="s">
        <v>126</v>
      </c>
      <c r="H607" s="1" t="s">
        <v>54</v>
      </c>
      <c r="I607" s="1" t="s">
        <v>21</v>
      </c>
      <c r="J607" s="1" t="s">
        <v>21</v>
      </c>
      <c r="K607">
        <v>1500</v>
      </c>
      <c r="L607">
        <v>1947</v>
      </c>
      <c r="M607">
        <v>0</v>
      </c>
      <c r="N60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0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07" s="5">
        <v>9890947</v>
      </c>
      <c r="Q607" t="str">
        <f>IF(OR(digital_banking_transactions3[[#This Row],[Nominal_Bersih]]&lt;0,digital_banking_transactions3[[#This Row],[Nominal_Bersih]]=0),"Invalid","Valid")</f>
        <v>Valid</v>
      </c>
      <c r="R60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45370</v>
      </c>
      <c r="S607" s="1" t="str">
        <f>TEXT(digital_banking_transactions3[[#This Row],[Tanggal_Bersih]],"MMMM YYYY")</f>
        <v>March 2024</v>
      </c>
      <c r="T60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0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08" spans="1:21" x14ac:dyDescent="0.35">
      <c r="A608" s="1" t="s">
        <v>2479</v>
      </c>
      <c r="B608" s="1" t="s">
        <v>2480</v>
      </c>
      <c r="C608" s="1" t="s">
        <v>2481</v>
      </c>
      <c r="D608" s="1" t="s">
        <v>31</v>
      </c>
      <c r="E608" s="1" t="s">
        <v>39</v>
      </c>
      <c r="F608" s="1">
        <v>343416</v>
      </c>
      <c r="G608" s="1" t="s">
        <v>195</v>
      </c>
      <c r="H608" s="1" t="s">
        <v>35</v>
      </c>
      <c r="I608" s="1" t="s">
        <v>21</v>
      </c>
      <c r="J608" s="1" t="s">
        <v>21</v>
      </c>
      <c r="K608">
        <v>7500</v>
      </c>
      <c r="L608">
        <v>2492</v>
      </c>
      <c r="M608">
        <v>0</v>
      </c>
      <c r="N60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0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08" s="5">
        <v>343416</v>
      </c>
      <c r="Q608" t="str">
        <f>IF(OR(digital_banking_transactions3[[#This Row],[Nominal_Bersih]]&lt;0,digital_banking_transactions3[[#This Row],[Nominal_Bersih]]=0),"Invalid","Valid")</f>
        <v>Valid</v>
      </c>
      <c r="R60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45571</v>
      </c>
      <c r="S608" s="1" t="str">
        <f>TEXT(digital_banking_transactions3[[#This Row],[Tanggal_Bersih]],"MMMM YYYY")</f>
        <v>October 2024</v>
      </c>
      <c r="T60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0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09" spans="1:21" x14ac:dyDescent="0.35">
      <c r="A609" s="1" t="s">
        <v>2483</v>
      </c>
      <c r="B609" s="1" t="s">
        <v>2484</v>
      </c>
      <c r="C609" s="1" t="s">
        <v>2485</v>
      </c>
      <c r="D609" s="1" t="s">
        <v>58</v>
      </c>
      <c r="E609" s="1" t="s">
        <v>52</v>
      </c>
      <c r="F609" s="4">
        <v>22753960</v>
      </c>
      <c r="G609" s="1" t="s">
        <v>41</v>
      </c>
      <c r="H609" s="1" t="s">
        <v>106</v>
      </c>
      <c r="I609" s="1" t="s">
        <v>21</v>
      </c>
      <c r="J609" s="1" t="s">
        <v>21</v>
      </c>
      <c r="K609">
        <v>6500</v>
      </c>
      <c r="L609">
        <v>4862</v>
      </c>
      <c r="M609">
        <v>0</v>
      </c>
      <c r="N60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0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09" s="5">
        <v>22753960</v>
      </c>
      <c r="Q609" t="str">
        <f>IF(OR(digital_banking_transactions3[[#This Row],[Nominal_Bersih]]&lt;0,digital_banking_transactions3[[#This Row],[Nominal_Bersih]]=0),"Invalid","Valid")</f>
        <v>Valid</v>
      </c>
      <c r="R60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45308</v>
      </c>
      <c r="S609" s="1" t="str">
        <f>TEXT(digital_banking_transactions3[[#This Row],[Tanggal_Bersih]],"MMMM YYYY")</f>
        <v>January 2024</v>
      </c>
      <c r="T60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0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10" spans="1:21" x14ac:dyDescent="0.35">
      <c r="A610" s="1" t="s">
        <v>2487</v>
      </c>
      <c r="B610" s="1" t="s">
        <v>2488</v>
      </c>
      <c r="C610" s="1" t="s">
        <v>2489</v>
      </c>
      <c r="D610" s="1" t="s">
        <v>25</v>
      </c>
      <c r="E610" s="1" t="s">
        <v>32</v>
      </c>
      <c r="F610" s="1" t="s">
        <v>2490</v>
      </c>
      <c r="G610" s="1" t="s">
        <v>264</v>
      </c>
      <c r="H610" s="1" t="s">
        <v>60</v>
      </c>
      <c r="I610" s="1" t="s">
        <v>21</v>
      </c>
      <c r="J610" s="1" t="s">
        <v>79</v>
      </c>
      <c r="K610">
        <v>0</v>
      </c>
      <c r="L610">
        <v>232</v>
      </c>
      <c r="M610">
        <v>0</v>
      </c>
      <c r="N61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1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10" s="5" t="s">
        <v>2490</v>
      </c>
      <c r="Q610" t="str">
        <f>IF(OR(digital_banking_transactions3[[#This Row],[Nominal_Bersih]]&lt;0,digital_banking_transactions3[[#This Row],[Nominal_Bersih]]=0),"Invalid","Valid")</f>
        <v>Valid</v>
      </c>
      <c r="R61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45433</v>
      </c>
      <c r="S610" s="1" t="str">
        <f>TEXT(digital_banking_transactions3[[#This Row],[Tanggal_Bersih]],"MMMM YYYY")</f>
        <v>May 2024</v>
      </c>
      <c r="T61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1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11" spans="1:21" x14ac:dyDescent="0.35">
      <c r="A611" s="1" t="s">
        <v>2491</v>
      </c>
      <c r="B611" s="1" t="s">
        <v>2492</v>
      </c>
      <c r="C611" s="1" t="s">
        <v>2493</v>
      </c>
      <c r="D611" s="1" t="s">
        <v>25</v>
      </c>
      <c r="E611" s="1" t="s">
        <v>17</v>
      </c>
      <c r="F611" s="1">
        <v>8074900</v>
      </c>
      <c r="G611" s="1" t="s">
        <v>65</v>
      </c>
      <c r="H611" s="1" t="s">
        <v>96</v>
      </c>
      <c r="I611" s="1" t="s">
        <v>21</v>
      </c>
      <c r="J611" s="1" t="s">
        <v>79</v>
      </c>
      <c r="K611">
        <v>2500</v>
      </c>
      <c r="L611">
        <v>88395</v>
      </c>
      <c r="M611">
        <v>0</v>
      </c>
      <c r="N61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1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11" s="5">
        <v>8074900</v>
      </c>
      <c r="Q611" t="str">
        <f>IF(OR(digital_banking_transactions3[[#This Row],[Nominal_Bersih]]&lt;0,digital_banking_transactions3[[#This Row],[Nominal_Bersih]]=0),"Invalid","Valid")</f>
        <v>Valid</v>
      </c>
      <c r="R61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45582</v>
      </c>
      <c r="S611" s="1" t="str">
        <f>TEXT(digital_banking_transactions3[[#This Row],[Tanggal_Bersih]],"MMMM YYYY")</f>
        <v>October 2024</v>
      </c>
      <c r="T61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1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612" spans="1:21" x14ac:dyDescent="0.35">
      <c r="A612" s="1" t="s">
        <v>2495</v>
      </c>
      <c r="B612" s="1" t="s">
        <v>2496</v>
      </c>
      <c r="C612" s="1" t="s">
        <v>2497</v>
      </c>
      <c r="D612" s="1" t="s">
        <v>16</v>
      </c>
      <c r="E612" s="1" t="s">
        <v>32</v>
      </c>
      <c r="F612" s="1" t="s">
        <v>2498</v>
      </c>
      <c r="G612" s="1" t="s">
        <v>41</v>
      </c>
      <c r="H612" s="1" t="s">
        <v>54</v>
      </c>
      <c r="I612" s="1" t="s">
        <v>21</v>
      </c>
      <c r="J612" s="1" t="s">
        <v>21</v>
      </c>
      <c r="K612">
        <v>0</v>
      </c>
      <c r="L612">
        <v>3672</v>
      </c>
      <c r="M612">
        <v>0</v>
      </c>
      <c r="N61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1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12" s="5" t="s">
        <v>2498</v>
      </c>
      <c r="Q612" t="str">
        <f>IF(OR(digital_banking_transactions3[[#This Row],[Nominal_Bersih]]&lt;0,digital_banking_transactions3[[#This Row],[Nominal_Bersih]]=0),"Invalid","Valid")</f>
        <v>Valid</v>
      </c>
      <c r="R61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45305</v>
      </c>
      <c r="S612" s="1" t="str">
        <f>TEXT(digital_banking_transactions3[[#This Row],[Tanggal_Bersih]],"MMMM YYYY")</f>
        <v>January 2024</v>
      </c>
      <c r="T61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1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13" spans="1:21" x14ac:dyDescent="0.35">
      <c r="A613" s="1" t="s">
        <v>2499</v>
      </c>
      <c r="B613" s="1" t="s">
        <v>2500</v>
      </c>
      <c r="C613" s="1" t="s">
        <v>2501</v>
      </c>
      <c r="D613" s="1" t="s">
        <v>93</v>
      </c>
      <c r="E613" s="1" t="s">
        <v>32</v>
      </c>
      <c r="F613" s="1" t="s">
        <v>2502</v>
      </c>
      <c r="G613" s="1" t="s">
        <v>65</v>
      </c>
      <c r="H613" s="1" t="s">
        <v>54</v>
      </c>
      <c r="I613" s="1" t="s">
        <v>21</v>
      </c>
      <c r="J613" s="1" t="s">
        <v>71</v>
      </c>
      <c r="K613">
        <v>0</v>
      </c>
      <c r="L613">
        <v>2888</v>
      </c>
      <c r="M613">
        <v>0</v>
      </c>
      <c r="N61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1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13" s="5" t="s">
        <v>2502</v>
      </c>
      <c r="Q613" t="str">
        <f>IF(OR(digital_banking_transactions3[[#This Row],[Nominal_Bersih]]&lt;0,digital_banking_transactions3[[#This Row],[Nominal_Bersih]]=0),"Invalid","Valid")</f>
        <v>Valid</v>
      </c>
      <c r="R61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45446</v>
      </c>
      <c r="S613" s="1" t="str">
        <f>TEXT(digital_banking_transactions3[[#This Row],[Tanggal_Bersih]],"MMMM YYYY")</f>
        <v>June 2024</v>
      </c>
      <c r="T61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1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14" spans="1:21" x14ac:dyDescent="0.35">
      <c r="A614" s="1" t="s">
        <v>2503</v>
      </c>
      <c r="B614" s="1" t="s">
        <v>2504</v>
      </c>
      <c r="C614" s="1" t="s">
        <v>2505</v>
      </c>
      <c r="D614" s="1" t="s">
        <v>25</v>
      </c>
      <c r="E614" s="1" t="s">
        <v>17</v>
      </c>
      <c r="F614" s="1">
        <v>35194991</v>
      </c>
      <c r="G614" s="1" t="s">
        <v>34</v>
      </c>
      <c r="H614" s="1" t="s">
        <v>20</v>
      </c>
      <c r="I614" s="1" t="s">
        <v>21</v>
      </c>
      <c r="J614" s="1" t="s">
        <v>21</v>
      </c>
      <c r="K614">
        <v>2500</v>
      </c>
      <c r="L614">
        <v>3243</v>
      </c>
      <c r="M614">
        <v>0</v>
      </c>
      <c r="N61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1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14" s="5">
        <v>35194991</v>
      </c>
      <c r="Q614" t="str">
        <f>IF(OR(digital_banking_transactions3[[#This Row],[Nominal_Bersih]]&lt;0,digital_banking_transactions3[[#This Row],[Nominal_Bersih]]=0),"Invalid","Valid")</f>
        <v>Valid</v>
      </c>
      <c r="R61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45484</v>
      </c>
      <c r="S614" s="1" t="str">
        <f>TEXT(digital_banking_transactions3[[#This Row],[Tanggal_Bersih]],"MMMM YYYY")</f>
        <v>July 2024</v>
      </c>
      <c r="T61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1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15" spans="1:21" x14ac:dyDescent="0.35">
      <c r="A615" s="1" t="s">
        <v>2507</v>
      </c>
      <c r="B615" s="1" t="s">
        <v>2508</v>
      </c>
      <c r="C615" s="1" t="s">
        <v>2509</v>
      </c>
      <c r="D615" s="1" t="s">
        <v>25</v>
      </c>
      <c r="E615" s="1" t="s">
        <v>32</v>
      </c>
      <c r="F615" s="1" t="s">
        <v>2510</v>
      </c>
      <c r="G615" s="1" t="s">
        <v>65</v>
      </c>
      <c r="H615" s="1" t="s">
        <v>77</v>
      </c>
      <c r="I615" s="1" t="s">
        <v>21</v>
      </c>
      <c r="J615" s="1" t="s">
        <v>121</v>
      </c>
      <c r="K615">
        <v>0</v>
      </c>
      <c r="L615">
        <v>4616</v>
      </c>
      <c r="M615">
        <v>0</v>
      </c>
      <c r="N61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1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15" s="5" t="s">
        <v>2510</v>
      </c>
      <c r="Q615" t="str">
        <f>IF(OR(digital_banking_transactions3[[#This Row],[Nominal_Bersih]]&lt;0,digital_banking_transactions3[[#This Row],[Nominal_Bersih]]=0),"Invalid","Valid")</f>
        <v>Valid</v>
      </c>
      <c r="R61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45468</v>
      </c>
      <c r="S615" s="1" t="str">
        <f>TEXT(digital_banking_transactions3[[#This Row],[Tanggal_Bersih]],"MMMM YYYY")</f>
        <v>June 2024</v>
      </c>
      <c r="T61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1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16" spans="1:21" x14ac:dyDescent="0.35">
      <c r="A616" s="1" t="s">
        <v>2511</v>
      </c>
      <c r="B616" s="1" t="s">
        <v>1684</v>
      </c>
      <c r="C616" s="1" t="s">
        <v>2512</v>
      </c>
      <c r="D616" s="1" t="s">
        <v>58</v>
      </c>
      <c r="E616" s="1" t="s">
        <v>52</v>
      </c>
      <c r="F616" s="1">
        <v>704818400</v>
      </c>
      <c r="G616" s="1" t="s">
        <v>126</v>
      </c>
      <c r="H616" s="1" t="s">
        <v>42</v>
      </c>
      <c r="I616" s="1" t="s">
        <v>112</v>
      </c>
      <c r="J616" s="1" t="s">
        <v>21</v>
      </c>
      <c r="K616">
        <v>6500</v>
      </c>
      <c r="L616">
        <v>1334</v>
      </c>
      <c r="M616">
        <v>0</v>
      </c>
      <c r="N61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1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16" s="5">
        <v>704818400</v>
      </c>
      <c r="Q616" t="str">
        <f>IF(OR(digital_banking_transactions3[[#This Row],[Nominal_Bersih]]&lt;0,digital_banking_transactions3[[#This Row],[Nominal_Bersih]]=0),"Invalid","Valid")</f>
        <v>Valid</v>
      </c>
      <c r="R61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45500</v>
      </c>
      <c r="S616" s="1" t="str">
        <f>TEXT(digital_banking_transactions3[[#This Row],[Tanggal_Bersih]],"MMMM YYYY")</f>
        <v>July 2024</v>
      </c>
      <c r="T61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1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17" spans="1:21" x14ac:dyDescent="0.35">
      <c r="A617" s="1" t="s">
        <v>2514</v>
      </c>
      <c r="B617" s="1" t="s">
        <v>2515</v>
      </c>
      <c r="C617" s="1" t="s">
        <v>2516</v>
      </c>
      <c r="D617" s="1" t="s">
        <v>58</v>
      </c>
      <c r="E617" s="1" t="s">
        <v>39</v>
      </c>
      <c r="F617" s="1" t="s">
        <v>2517</v>
      </c>
      <c r="G617" s="1" t="s">
        <v>41</v>
      </c>
      <c r="H617" s="1" t="s">
        <v>54</v>
      </c>
      <c r="I617" s="1" t="s">
        <v>21</v>
      </c>
      <c r="J617" s="1" t="s">
        <v>21</v>
      </c>
      <c r="K617">
        <v>7500</v>
      </c>
      <c r="L617">
        <v>4185</v>
      </c>
      <c r="M617">
        <v>0</v>
      </c>
      <c r="N61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1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17" s="5" t="s">
        <v>2517</v>
      </c>
      <c r="Q617" t="str">
        <f>IF(OR(digital_banking_transactions3[[#This Row],[Nominal_Bersih]]&lt;0,digital_banking_transactions3[[#This Row],[Nominal_Bersih]]=0),"Invalid","Valid")</f>
        <v>Valid</v>
      </c>
      <c r="R61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45585</v>
      </c>
      <c r="S617" s="1" t="str">
        <f>TEXT(digital_banking_transactions3[[#This Row],[Tanggal_Bersih]],"MMMM YYYY")</f>
        <v>October 2024</v>
      </c>
      <c r="T61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1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18" spans="1:21" x14ac:dyDescent="0.35">
      <c r="A618" s="1" t="s">
        <v>2518</v>
      </c>
      <c r="B618" s="1" t="s">
        <v>2519</v>
      </c>
      <c r="C618" s="1" t="s">
        <v>2520</v>
      </c>
      <c r="D618" s="1" t="s">
        <v>16</v>
      </c>
      <c r="E618" s="1" t="s">
        <v>94</v>
      </c>
      <c r="F618" s="1">
        <v>45911637</v>
      </c>
      <c r="G618" s="1" t="s">
        <v>126</v>
      </c>
      <c r="H618" s="1" t="s">
        <v>35</v>
      </c>
      <c r="I618" s="1" t="s">
        <v>21</v>
      </c>
      <c r="J618" s="1" t="s">
        <v>21</v>
      </c>
      <c r="K618">
        <v>1500</v>
      </c>
      <c r="L618">
        <v>4049</v>
      </c>
      <c r="M618">
        <v>0</v>
      </c>
      <c r="N61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1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18" s="5">
        <v>45911637</v>
      </c>
      <c r="Q618" t="str">
        <f>IF(OR(digital_banking_transactions3[[#This Row],[Nominal_Bersih]]&lt;0,digital_banking_transactions3[[#This Row],[Nominal_Bersih]]=0),"Invalid","Valid")</f>
        <v>Valid</v>
      </c>
      <c r="R61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45559</v>
      </c>
      <c r="S618" s="1" t="str">
        <f>TEXT(digital_banking_transactions3[[#This Row],[Tanggal_Bersih]],"MMMM YYYY")</f>
        <v>September 2024</v>
      </c>
      <c r="T61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1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19" spans="1:21" x14ac:dyDescent="0.35">
      <c r="A619" s="1" t="s">
        <v>2522</v>
      </c>
      <c r="B619" s="1" t="s">
        <v>2523</v>
      </c>
      <c r="C619" s="1" t="s">
        <v>2524</v>
      </c>
      <c r="D619" s="1" t="s">
        <v>93</v>
      </c>
      <c r="E619" s="1" t="s">
        <v>39</v>
      </c>
      <c r="F619" s="1" t="s">
        <v>2525</v>
      </c>
      <c r="G619" s="1" t="s">
        <v>65</v>
      </c>
      <c r="H619" s="1" t="s">
        <v>77</v>
      </c>
      <c r="I619" s="1" t="s">
        <v>21</v>
      </c>
      <c r="J619" s="1" t="s">
        <v>121</v>
      </c>
      <c r="K619">
        <v>7500</v>
      </c>
      <c r="L619">
        <v>1343</v>
      </c>
      <c r="M619">
        <v>0</v>
      </c>
      <c r="N61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1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19" s="5" t="s">
        <v>2525</v>
      </c>
      <c r="Q619" t="str">
        <f>IF(OR(digital_banking_transactions3[[#This Row],[Nominal_Bersih]]&lt;0,digital_banking_transactions3[[#This Row],[Nominal_Bersih]]=0),"Invalid","Valid")</f>
        <v>Valid</v>
      </c>
      <c r="R61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45367</v>
      </c>
      <c r="S619" s="1" t="str">
        <f>TEXT(digital_banking_transactions3[[#This Row],[Tanggal_Bersih]],"MMMM YYYY")</f>
        <v>March 2024</v>
      </c>
      <c r="T61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1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20" spans="1:21" x14ac:dyDescent="0.35">
      <c r="A620" s="1" t="s">
        <v>2526</v>
      </c>
      <c r="B620" s="1" t="s">
        <v>2508</v>
      </c>
      <c r="C620" s="1" t="s">
        <v>2527</v>
      </c>
      <c r="D620" s="1" t="s">
        <v>16</v>
      </c>
      <c r="E620" s="1" t="s">
        <v>52</v>
      </c>
      <c r="F620" s="1">
        <v>125615</v>
      </c>
      <c r="G620" s="1" t="s">
        <v>65</v>
      </c>
      <c r="H620" s="1" t="s">
        <v>42</v>
      </c>
      <c r="I620" s="1" t="s">
        <v>78</v>
      </c>
      <c r="J620" s="1" t="s">
        <v>21</v>
      </c>
      <c r="K620">
        <v>6500</v>
      </c>
      <c r="L620">
        <v>2085</v>
      </c>
      <c r="M620">
        <v>0</v>
      </c>
      <c r="N62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2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20" s="5">
        <v>125615</v>
      </c>
      <c r="Q620" t="str">
        <f>IF(OR(digital_banking_transactions3[[#This Row],[Nominal_Bersih]]&lt;0,digital_banking_transactions3[[#This Row],[Nominal_Bersih]]=0),"Invalid","Valid")</f>
        <v>Valid</v>
      </c>
      <c r="R62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45468</v>
      </c>
      <c r="S620" s="1" t="str">
        <f>TEXT(digital_banking_transactions3[[#This Row],[Tanggal_Bersih]],"MMMM YYYY")</f>
        <v>June 2024</v>
      </c>
      <c r="T62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2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21" spans="1:21" x14ac:dyDescent="0.35">
      <c r="A621" s="1" t="s">
        <v>2529</v>
      </c>
      <c r="B621" s="1" t="s">
        <v>2530</v>
      </c>
      <c r="C621" s="1" t="s">
        <v>2531</v>
      </c>
      <c r="D621" s="1" t="s">
        <v>58</v>
      </c>
      <c r="E621" s="1" t="s">
        <v>94</v>
      </c>
      <c r="F621" s="1" t="s">
        <v>2532</v>
      </c>
      <c r="G621" s="1" t="s">
        <v>105</v>
      </c>
      <c r="H621" s="1" t="s">
        <v>60</v>
      </c>
      <c r="I621" s="1" t="s">
        <v>21</v>
      </c>
      <c r="J621" s="1" t="s">
        <v>21</v>
      </c>
      <c r="K621">
        <v>1500</v>
      </c>
      <c r="L621">
        <v>1967</v>
      </c>
      <c r="M621">
        <v>0</v>
      </c>
      <c r="N62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2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21" s="5" t="s">
        <v>2532</v>
      </c>
      <c r="Q621" t="str">
        <f>IF(OR(digital_banking_transactions3[[#This Row],[Nominal_Bersih]]&lt;0,digital_banking_transactions3[[#This Row],[Nominal_Bersih]]=0),"Invalid","Valid")</f>
        <v>Valid</v>
      </c>
      <c r="R62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45527</v>
      </c>
      <c r="S621" s="1" t="str">
        <f>TEXT(digital_banking_transactions3[[#This Row],[Tanggal_Bersih]],"MMMM YYYY")</f>
        <v>August 2024</v>
      </c>
      <c r="T62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2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22" spans="1:21" x14ac:dyDescent="0.35">
      <c r="A622" s="1" t="s">
        <v>2533</v>
      </c>
      <c r="B622" s="1" t="s">
        <v>2534</v>
      </c>
      <c r="C622" s="1" t="s">
        <v>2535</v>
      </c>
      <c r="D622" s="1" t="s">
        <v>16</v>
      </c>
      <c r="E622" s="1" t="s">
        <v>94</v>
      </c>
      <c r="F622" s="1">
        <v>332737</v>
      </c>
      <c r="G622" s="1" t="s">
        <v>65</v>
      </c>
      <c r="H622" s="1" t="s">
        <v>42</v>
      </c>
      <c r="I622" s="1" t="s">
        <v>21</v>
      </c>
      <c r="J622" s="1" t="s">
        <v>21</v>
      </c>
      <c r="K622">
        <v>1500</v>
      </c>
      <c r="L622">
        <v>1244</v>
      </c>
      <c r="M622">
        <v>0</v>
      </c>
      <c r="N62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2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22" s="5">
        <v>332737</v>
      </c>
      <c r="Q622" t="str">
        <f>IF(OR(digital_banking_transactions3[[#This Row],[Nominal_Bersih]]&lt;0,digital_banking_transactions3[[#This Row],[Nominal_Bersih]]=0),"Invalid","Valid")</f>
        <v>Valid</v>
      </c>
      <c r="R62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45617</v>
      </c>
      <c r="S622" s="1" t="str">
        <f>TEXT(digital_banking_transactions3[[#This Row],[Tanggal_Bersih]],"MMMM YYYY")</f>
        <v>November 2024</v>
      </c>
      <c r="T62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2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23" spans="1:21" x14ac:dyDescent="0.35">
      <c r="A623" s="1" t="s">
        <v>2537</v>
      </c>
      <c r="B623" s="1" t="s">
        <v>2538</v>
      </c>
      <c r="C623" s="1" t="s">
        <v>2539</v>
      </c>
      <c r="D623" s="1" t="s">
        <v>58</v>
      </c>
      <c r="E623" s="1" t="s">
        <v>17</v>
      </c>
      <c r="F623" s="1" t="s">
        <v>2540</v>
      </c>
      <c r="G623" s="1" t="s">
        <v>65</v>
      </c>
      <c r="H623" s="1" t="s">
        <v>42</v>
      </c>
      <c r="I623" s="1" t="s">
        <v>21</v>
      </c>
      <c r="J623" s="1" t="s">
        <v>21</v>
      </c>
      <c r="K623">
        <v>2500</v>
      </c>
      <c r="L623">
        <v>743</v>
      </c>
      <c r="M623">
        <v>1</v>
      </c>
      <c r="N62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2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23" s="5" t="s">
        <v>2540</v>
      </c>
      <c r="Q623" t="str">
        <f>IF(OR(digital_banking_transactions3[[#This Row],[Nominal_Bersih]]&lt;0,digital_banking_transactions3[[#This Row],[Nominal_Bersih]]=0),"Invalid","Valid")</f>
        <v>Valid</v>
      </c>
      <c r="R62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45423</v>
      </c>
      <c r="S623" s="1" t="str">
        <f>TEXT(digital_banking_transactions3[[#This Row],[Tanggal_Bersih]],"MMMM YYYY")</f>
        <v>May 2024</v>
      </c>
      <c r="T62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2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24" spans="1:21" x14ac:dyDescent="0.35">
      <c r="A624" s="1" t="s">
        <v>2541</v>
      </c>
      <c r="B624" s="1" t="s">
        <v>2542</v>
      </c>
      <c r="C624" s="1" t="s">
        <v>2543</v>
      </c>
      <c r="D624" s="1" t="s">
        <v>110</v>
      </c>
      <c r="E624" s="1" t="s">
        <v>32</v>
      </c>
      <c r="F624" s="1" t="s">
        <v>2544</v>
      </c>
      <c r="G624" s="1" t="s">
        <v>485</v>
      </c>
      <c r="H624" s="1" t="s">
        <v>20</v>
      </c>
      <c r="I624" s="1" t="s">
        <v>21</v>
      </c>
      <c r="J624" s="1" t="s">
        <v>21</v>
      </c>
      <c r="K624">
        <v>0</v>
      </c>
      <c r="L624">
        <v>3437</v>
      </c>
      <c r="M624">
        <v>0</v>
      </c>
      <c r="N62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2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24" s="5" t="s">
        <v>2544</v>
      </c>
      <c r="Q624" t="str">
        <f>IF(OR(digital_banking_transactions3[[#This Row],[Nominal_Bersih]]&lt;0,digital_banking_transactions3[[#This Row],[Nominal_Bersih]]=0),"Invalid","Valid")</f>
        <v>Valid</v>
      </c>
      <c r="R62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45381</v>
      </c>
      <c r="S624" s="1" t="str">
        <f>TEXT(digital_banking_transactions3[[#This Row],[Tanggal_Bersih]],"MMMM YYYY")</f>
        <v>March 2024</v>
      </c>
      <c r="T62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2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25" spans="1:21" x14ac:dyDescent="0.35">
      <c r="A625" s="1" t="s">
        <v>2545</v>
      </c>
      <c r="B625" s="1" t="s">
        <v>2057</v>
      </c>
      <c r="C625" s="1" t="s">
        <v>2546</v>
      </c>
      <c r="D625" s="1" t="s">
        <v>25</v>
      </c>
      <c r="E625" s="1" t="s">
        <v>32</v>
      </c>
      <c r="F625" s="1" t="s">
        <v>2547</v>
      </c>
      <c r="G625" s="1" t="s">
        <v>264</v>
      </c>
      <c r="H625" s="1" t="s">
        <v>77</v>
      </c>
      <c r="I625" s="1" t="s">
        <v>21</v>
      </c>
      <c r="J625" s="1" t="s">
        <v>208</v>
      </c>
      <c r="K625">
        <v>0</v>
      </c>
      <c r="L625">
        <v>4700</v>
      </c>
      <c r="M625">
        <v>0</v>
      </c>
      <c r="N62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2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25" s="5" t="s">
        <v>2547</v>
      </c>
      <c r="Q625" t="str">
        <f>IF(OR(digital_banking_transactions3[[#This Row],[Nominal_Bersih]]&lt;0,digital_banking_transactions3[[#This Row],[Nominal_Bersih]]=0),"Invalid","Valid")</f>
        <v>Valid</v>
      </c>
      <c r="R62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45367</v>
      </c>
      <c r="S625" s="1" t="str">
        <f>TEXT(digital_banking_transactions3[[#This Row],[Tanggal_Bersih]],"MMMM YYYY")</f>
        <v>March 2024</v>
      </c>
      <c r="T62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2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26" spans="1:21" x14ac:dyDescent="0.35">
      <c r="A626" s="1" t="s">
        <v>2548</v>
      </c>
      <c r="B626" s="1" t="s">
        <v>2549</v>
      </c>
      <c r="C626" s="1" t="s">
        <v>2550</v>
      </c>
      <c r="D626" s="1" t="s">
        <v>167</v>
      </c>
      <c r="E626" s="1" t="s">
        <v>52</v>
      </c>
      <c r="F626" s="1" t="s">
        <v>2551</v>
      </c>
      <c r="G626" s="1" t="s">
        <v>41</v>
      </c>
      <c r="H626" s="1" t="s">
        <v>54</v>
      </c>
      <c r="I626" s="1" t="s">
        <v>138</v>
      </c>
      <c r="J626" s="1" t="s">
        <v>21</v>
      </c>
      <c r="K626">
        <v>6500</v>
      </c>
      <c r="L626">
        <v>82810</v>
      </c>
      <c r="M626">
        <v>0</v>
      </c>
      <c r="N62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2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26" s="5" t="s">
        <v>2551</v>
      </c>
      <c r="Q626" t="str">
        <f>IF(OR(digital_banking_transactions3[[#This Row],[Nominal_Bersih]]&lt;0,digital_banking_transactions3[[#This Row],[Nominal_Bersih]]=0),"Invalid","Valid")</f>
        <v>Valid</v>
      </c>
      <c r="R62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45349</v>
      </c>
      <c r="S626" s="1" t="str">
        <f>TEXT(digital_banking_transactions3[[#This Row],[Tanggal_Bersih]],"MMMM YYYY")</f>
        <v>February 2024</v>
      </c>
      <c r="T62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2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627" spans="1:21" x14ac:dyDescent="0.35">
      <c r="A627" s="1" t="s">
        <v>2552</v>
      </c>
      <c r="B627" s="1" t="s">
        <v>2553</v>
      </c>
      <c r="C627" s="1" t="s">
        <v>2554</v>
      </c>
      <c r="D627" s="1" t="s">
        <v>16</v>
      </c>
      <c r="E627" s="1" t="s">
        <v>32</v>
      </c>
      <c r="F627" s="4">
        <v>2871010</v>
      </c>
      <c r="G627" s="1" t="s">
        <v>41</v>
      </c>
      <c r="H627" s="1" t="s">
        <v>60</v>
      </c>
      <c r="I627" s="1" t="s">
        <v>21</v>
      </c>
      <c r="J627" s="1" t="s">
        <v>21</v>
      </c>
      <c r="K627">
        <v>0</v>
      </c>
      <c r="L627">
        <v>798</v>
      </c>
      <c r="M627">
        <v>0</v>
      </c>
      <c r="N62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2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27" s="5">
        <v>2871010</v>
      </c>
      <c r="Q627" t="str">
        <f>IF(OR(digital_banking_transactions3[[#This Row],[Nominal_Bersih]]&lt;0,digital_banking_transactions3[[#This Row],[Nominal_Bersih]]=0),"Invalid","Valid")</f>
        <v>Valid</v>
      </c>
      <c r="R62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45483</v>
      </c>
      <c r="S627" s="1" t="str">
        <f>TEXT(digital_banking_transactions3[[#This Row],[Tanggal_Bersih]],"MMMM YYYY")</f>
        <v>July 2024</v>
      </c>
      <c r="T62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2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28" spans="1:21" x14ac:dyDescent="0.35">
      <c r="A628" s="1" t="s">
        <v>2556</v>
      </c>
      <c r="B628" s="1" t="s">
        <v>2557</v>
      </c>
      <c r="C628" s="1" t="s">
        <v>2558</v>
      </c>
      <c r="D628" s="1" t="s">
        <v>75</v>
      </c>
      <c r="E628" s="1" t="s">
        <v>32</v>
      </c>
      <c r="F628" s="1" t="s">
        <v>2559</v>
      </c>
      <c r="G628" s="1" t="s">
        <v>126</v>
      </c>
      <c r="H628" s="1" t="s">
        <v>54</v>
      </c>
      <c r="I628" s="1" t="s">
        <v>21</v>
      </c>
      <c r="J628" s="1" t="s">
        <v>71</v>
      </c>
      <c r="K628">
        <v>0</v>
      </c>
      <c r="L628">
        <v>2697</v>
      </c>
      <c r="M628">
        <v>1</v>
      </c>
      <c r="N62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2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28" s="5" t="s">
        <v>2559</v>
      </c>
      <c r="Q628" t="str">
        <f>IF(OR(digital_banking_transactions3[[#This Row],[Nominal_Bersih]]&lt;0,digital_banking_transactions3[[#This Row],[Nominal_Bersih]]=0),"Invalid","Valid")</f>
        <v>Valid</v>
      </c>
      <c r="R62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45375</v>
      </c>
      <c r="S628" s="1" t="str">
        <f>TEXT(digital_banking_transactions3[[#This Row],[Tanggal_Bersih]],"MMMM YYYY")</f>
        <v>March 2024</v>
      </c>
      <c r="T62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2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29" spans="1:21" x14ac:dyDescent="0.35">
      <c r="A629" s="1" t="s">
        <v>2560</v>
      </c>
      <c r="B629" s="1" t="s">
        <v>2561</v>
      </c>
      <c r="C629" s="1" t="s">
        <v>2562</v>
      </c>
      <c r="D629" s="1" t="s">
        <v>58</v>
      </c>
      <c r="E629" s="1" t="s">
        <v>52</v>
      </c>
      <c r="F629" s="1" t="s">
        <v>2563</v>
      </c>
      <c r="G629" s="1" t="s">
        <v>105</v>
      </c>
      <c r="H629" s="1" t="s">
        <v>60</v>
      </c>
      <c r="I629" s="1" t="s">
        <v>112</v>
      </c>
      <c r="J629" s="1" t="s">
        <v>21</v>
      </c>
      <c r="K629">
        <v>6500</v>
      </c>
      <c r="L629">
        <v>3243</v>
      </c>
      <c r="M629">
        <v>0</v>
      </c>
      <c r="N62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2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29" s="5" t="s">
        <v>2563</v>
      </c>
      <c r="Q629" t="str">
        <f>IF(OR(digital_banking_transactions3[[#This Row],[Nominal_Bersih]]&lt;0,digital_banking_transactions3[[#This Row],[Nominal_Bersih]]=0),"Invalid","Valid")</f>
        <v>Valid</v>
      </c>
      <c r="R62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45376</v>
      </c>
      <c r="S629" s="1" t="str">
        <f>TEXT(digital_banking_transactions3[[#This Row],[Tanggal_Bersih]],"MMMM YYYY")</f>
        <v>March 2024</v>
      </c>
      <c r="T62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2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30" spans="1:21" x14ac:dyDescent="0.35">
      <c r="A630" s="1" t="s">
        <v>2564</v>
      </c>
      <c r="B630" s="1" t="s">
        <v>2565</v>
      </c>
      <c r="C630" s="1" t="s">
        <v>2566</v>
      </c>
      <c r="D630" s="1" t="s">
        <v>16</v>
      </c>
      <c r="E630" s="1" t="s">
        <v>52</v>
      </c>
      <c r="F630" s="1" t="s">
        <v>2567</v>
      </c>
      <c r="G630" s="1" t="s">
        <v>126</v>
      </c>
      <c r="H630" s="1" t="s">
        <v>106</v>
      </c>
      <c r="I630" s="1" t="s">
        <v>78</v>
      </c>
      <c r="J630" s="1" t="s">
        <v>21</v>
      </c>
      <c r="K630">
        <v>6500</v>
      </c>
      <c r="L630">
        <v>4977</v>
      </c>
      <c r="M630">
        <v>0</v>
      </c>
      <c r="N63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3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30" s="5" t="s">
        <v>2567</v>
      </c>
      <c r="Q630" t="str">
        <f>IF(OR(digital_banking_transactions3[[#This Row],[Nominal_Bersih]]&lt;0,digital_banking_transactions3[[#This Row],[Nominal_Bersih]]=0),"Invalid","Valid")</f>
        <v>Valid</v>
      </c>
      <c r="R63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45338</v>
      </c>
      <c r="S630" s="1" t="str">
        <f>TEXT(digital_banking_transactions3[[#This Row],[Tanggal_Bersih]],"MMMM YYYY")</f>
        <v>February 2024</v>
      </c>
      <c r="T63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3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31" spans="1:21" x14ac:dyDescent="0.35">
      <c r="A631" s="1" t="s">
        <v>2568</v>
      </c>
      <c r="B631" s="1" t="s">
        <v>2569</v>
      </c>
      <c r="C631" s="1" t="s">
        <v>2570</v>
      </c>
      <c r="D631" s="1" t="s">
        <v>25</v>
      </c>
      <c r="E631" s="1" t="s">
        <v>17</v>
      </c>
      <c r="F631" s="1">
        <v>25171767</v>
      </c>
      <c r="G631" s="1" t="s">
        <v>89</v>
      </c>
      <c r="H631" s="1" t="s">
        <v>20</v>
      </c>
      <c r="I631" s="1" t="s">
        <v>21</v>
      </c>
      <c r="J631" s="1" t="s">
        <v>79</v>
      </c>
      <c r="K631">
        <v>2500</v>
      </c>
      <c r="L631">
        <v>3973</v>
      </c>
      <c r="M631">
        <v>0</v>
      </c>
      <c r="N63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3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31" s="5">
        <v>25171767</v>
      </c>
      <c r="Q631" t="str">
        <f>IF(OR(digital_banking_transactions3[[#This Row],[Nominal_Bersih]]&lt;0,digital_banking_transactions3[[#This Row],[Nominal_Bersih]]=0),"Invalid","Valid")</f>
        <v>Valid</v>
      </c>
      <c r="R63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45507</v>
      </c>
      <c r="S631" s="1" t="str">
        <f>TEXT(digital_banking_transactions3[[#This Row],[Tanggal_Bersih]],"MMMM YYYY")</f>
        <v>August 2024</v>
      </c>
      <c r="T63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3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32" spans="1:21" x14ac:dyDescent="0.35">
      <c r="A632" s="1" t="s">
        <v>2572</v>
      </c>
      <c r="B632" s="1" t="s">
        <v>2573</v>
      </c>
      <c r="C632" s="1" t="s">
        <v>2574</v>
      </c>
      <c r="D632" s="1" t="s">
        <v>16</v>
      </c>
      <c r="E632" s="1" t="s">
        <v>32</v>
      </c>
      <c r="F632" s="1" t="s">
        <v>2575</v>
      </c>
      <c r="G632" s="1" t="s">
        <v>41</v>
      </c>
      <c r="H632" s="1" t="s">
        <v>54</v>
      </c>
      <c r="I632" s="1" t="s">
        <v>21</v>
      </c>
      <c r="J632" s="1" t="s">
        <v>21</v>
      </c>
      <c r="K632">
        <v>0</v>
      </c>
      <c r="L632">
        <v>3937</v>
      </c>
      <c r="M632">
        <v>0</v>
      </c>
      <c r="N63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3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32" s="5" t="s">
        <v>2575</v>
      </c>
      <c r="Q632" t="str">
        <f>IF(OR(digital_banking_transactions3[[#This Row],[Nominal_Bersih]]&lt;0,digital_banking_transactions3[[#This Row],[Nominal_Bersih]]=0),"Invalid","Valid")</f>
        <v>Valid</v>
      </c>
      <c r="R63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45480</v>
      </c>
      <c r="S632" s="1" t="str">
        <f>TEXT(digital_banking_transactions3[[#This Row],[Tanggal_Bersih]],"MMMM YYYY")</f>
        <v>July 2024</v>
      </c>
      <c r="T63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3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33" spans="1:21" x14ac:dyDescent="0.35">
      <c r="A633" s="1" t="s">
        <v>2576</v>
      </c>
      <c r="B633" s="1" t="s">
        <v>2577</v>
      </c>
      <c r="C633" s="1" t="s">
        <v>2578</v>
      </c>
      <c r="D633" s="1" t="s">
        <v>167</v>
      </c>
      <c r="E633" s="1" t="s">
        <v>17</v>
      </c>
      <c r="F633" s="1" t="s">
        <v>2579</v>
      </c>
      <c r="G633" s="1" t="s">
        <v>65</v>
      </c>
      <c r="H633" s="1" t="s">
        <v>77</v>
      </c>
      <c r="I633" s="1" t="s">
        <v>21</v>
      </c>
      <c r="J633" s="1" t="s">
        <v>21</v>
      </c>
      <c r="K633">
        <v>2500</v>
      </c>
      <c r="L633">
        <v>400</v>
      </c>
      <c r="M633">
        <v>0</v>
      </c>
      <c r="N63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3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33" s="5" t="s">
        <v>2579</v>
      </c>
      <c r="Q633" t="str">
        <f>IF(OR(digital_banking_transactions3[[#This Row],[Nominal_Bersih]]&lt;0,digital_banking_transactions3[[#This Row],[Nominal_Bersih]]=0),"Invalid","Valid")</f>
        <v>Valid</v>
      </c>
      <c r="R63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45537</v>
      </c>
      <c r="S633" s="1" t="str">
        <f>TEXT(digital_banking_transactions3[[#This Row],[Tanggal_Bersih]],"MMMM YYYY")</f>
        <v>September 2024</v>
      </c>
      <c r="T63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3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34" spans="1:21" x14ac:dyDescent="0.35">
      <c r="A634" s="1" t="s">
        <v>2580</v>
      </c>
      <c r="B634" s="1" t="s">
        <v>2581</v>
      </c>
      <c r="C634" s="1" t="s">
        <v>2582</v>
      </c>
      <c r="D634" s="1" t="s">
        <v>58</v>
      </c>
      <c r="E634" s="1" t="s">
        <v>17</v>
      </c>
      <c r="F634" s="4">
        <v>2303499</v>
      </c>
      <c r="G634" s="1" t="s">
        <v>65</v>
      </c>
      <c r="H634" s="1" t="s">
        <v>35</v>
      </c>
      <c r="I634" s="1" t="s">
        <v>21</v>
      </c>
      <c r="J634" s="1" t="s">
        <v>21</v>
      </c>
      <c r="K634">
        <v>2500</v>
      </c>
      <c r="L634">
        <v>204</v>
      </c>
      <c r="M634">
        <v>1</v>
      </c>
      <c r="N63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3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34" s="5">
        <v>2303499</v>
      </c>
      <c r="Q634" t="str">
        <f>IF(OR(digital_banking_transactions3[[#This Row],[Nominal_Bersih]]&lt;0,digital_banking_transactions3[[#This Row],[Nominal_Bersih]]=0),"Invalid","Valid")</f>
        <v>Valid</v>
      </c>
      <c r="R63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45616</v>
      </c>
      <c r="S634" s="1" t="str">
        <f>TEXT(digital_banking_transactions3[[#This Row],[Tanggal_Bersih]],"MMMM YYYY")</f>
        <v>November 2024</v>
      </c>
      <c r="T63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3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35" spans="1:21" x14ac:dyDescent="0.35">
      <c r="A635" s="1" t="s">
        <v>2584</v>
      </c>
      <c r="B635" s="1" t="s">
        <v>2585</v>
      </c>
      <c r="C635" s="1" t="s">
        <v>2586</v>
      </c>
      <c r="D635" s="1" t="s">
        <v>58</v>
      </c>
      <c r="E635" s="1" t="s">
        <v>94</v>
      </c>
      <c r="F635" s="1" t="s">
        <v>2587</v>
      </c>
      <c r="G635" s="1" t="s">
        <v>137</v>
      </c>
      <c r="H635" s="1" t="s">
        <v>77</v>
      </c>
      <c r="I635" s="1" t="s">
        <v>21</v>
      </c>
      <c r="J635" s="1" t="s">
        <v>21</v>
      </c>
      <c r="K635">
        <v>1500</v>
      </c>
      <c r="L635">
        <v>4885</v>
      </c>
      <c r="M635">
        <v>1</v>
      </c>
      <c r="N63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3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35" s="5" t="s">
        <v>2587</v>
      </c>
      <c r="Q635" t="str">
        <f>IF(OR(digital_banking_transactions3[[#This Row],[Nominal_Bersih]]&lt;0,digital_banking_transactions3[[#This Row],[Nominal_Bersih]]=0),"Invalid","Valid")</f>
        <v>Valid</v>
      </c>
      <c r="R63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45602</v>
      </c>
      <c r="S635" s="1" t="str">
        <f>TEXT(digital_banking_transactions3[[#This Row],[Tanggal_Bersih]],"MMMM YYYY")</f>
        <v>November 2024</v>
      </c>
      <c r="T63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3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36" spans="1:21" x14ac:dyDescent="0.35">
      <c r="A636" s="1" t="s">
        <v>2588</v>
      </c>
      <c r="B636" s="1" t="s">
        <v>2589</v>
      </c>
      <c r="C636" s="1" t="s">
        <v>2590</v>
      </c>
      <c r="D636" s="1" t="s">
        <v>58</v>
      </c>
      <c r="E636" s="1" t="s">
        <v>94</v>
      </c>
      <c r="F636" s="1" t="s">
        <v>2591</v>
      </c>
      <c r="G636" s="1" t="s">
        <v>126</v>
      </c>
      <c r="H636" s="1" t="s">
        <v>35</v>
      </c>
      <c r="I636" s="1" t="s">
        <v>21</v>
      </c>
      <c r="J636" s="1" t="s">
        <v>21</v>
      </c>
      <c r="K636">
        <v>1500</v>
      </c>
      <c r="L636">
        <v>699</v>
      </c>
      <c r="M636">
        <v>0</v>
      </c>
      <c r="N63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3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36" s="5" t="s">
        <v>2591</v>
      </c>
      <c r="Q636" t="str">
        <f>IF(OR(digital_banking_transactions3[[#This Row],[Nominal_Bersih]]&lt;0,digital_banking_transactions3[[#This Row],[Nominal_Bersih]]=0),"Invalid","Valid")</f>
        <v>Valid</v>
      </c>
      <c r="R63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45528</v>
      </c>
      <c r="S636" s="1" t="str">
        <f>TEXT(digital_banking_transactions3[[#This Row],[Tanggal_Bersih]],"MMMM YYYY")</f>
        <v>August 2024</v>
      </c>
      <c r="T63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3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37" spans="1:21" x14ac:dyDescent="0.35">
      <c r="A637" s="1" t="s">
        <v>2592</v>
      </c>
      <c r="B637" s="1" t="s">
        <v>2569</v>
      </c>
      <c r="C637" s="1" t="s">
        <v>2593</v>
      </c>
      <c r="D637" s="1" t="s">
        <v>16</v>
      </c>
      <c r="E637" s="1" t="s">
        <v>17</v>
      </c>
      <c r="F637" s="1" t="s">
        <v>2594</v>
      </c>
      <c r="G637" s="1" t="s">
        <v>19</v>
      </c>
      <c r="H637" s="1" t="s">
        <v>96</v>
      </c>
      <c r="I637" s="1" t="s">
        <v>21</v>
      </c>
      <c r="J637" s="1" t="s">
        <v>21</v>
      </c>
      <c r="K637">
        <v>2500</v>
      </c>
      <c r="L637">
        <v>1513</v>
      </c>
      <c r="M637">
        <v>0</v>
      </c>
      <c r="N63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3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37" s="5" t="s">
        <v>2594</v>
      </c>
      <c r="Q637" t="str">
        <f>IF(OR(digital_banking_transactions3[[#This Row],[Nominal_Bersih]]&lt;0,digital_banking_transactions3[[#This Row],[Nominal_Bersih]]=0),"Invalid","Valid")</f>
        <v>Valid</v>
      </c>
      <c r="R63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45507</v>
      </c>
      <c r="S637" s="1" t="str">
        <f>TEXT(digital_banking_transactions3[[#This Row],[Tanggal_Bersih]],"MMMM YYYY")</f>
        <v>August 2024</v>
      </c>
      <c r="T63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3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38" spans="1:21" x14ac:dyDescent="0.35">
      <c r="A638" s="1" t="s">
        <v>2595</v>
      </c>
      <c r="B638" s="1" t="s">
        <v>2596</v>
      </c>
      <c r="C638" s="1" t="s">
        <v>2597</v>
      </c>
      <c r="D638" s="1" t="s">
        <v>25</v>
      </c>
      <c r="E638" s="1" t="s">
        <v>17</v>
      </c>
      <c r="F638" s="1" t="s">
        <v>2598</v>
      </c>
      <c r="G638" s="1" t="s">
        <v>137</v>
      </c>
      <c r="H638" s="1" t="s">
        <v>96</v>
      </c>
      <c r="I638" s="1" t="s">
        <v>21</v>
      </c>
      <c r="J638" s="1" t="s">
        <v>79</v>
      </c>
      <c r="K638">
        <v>2500</v>
      </c>
      <c r="L638">
        <v>4312</v>
      </c>
      <c r="M638">
        <v>0</v>
      </c>
      <c r="N63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3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38" s="5" t="s">
        <v>2598</v>
      </c>
      <c r="Q638" t="str">
        <f>IF(OR(digital_banking_transactions3[[#This Row],[Nominal_Bersih]]&lt;0,digital_banking_transactions3[[#This Row],[Nominal_Bersih]]=0),"Invalid","Valid")</f>
        <v>Valid</v>
      </c>
      <c r="R63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45643</v>
      </c>
      <c r="S638" s="1" t="str">
        <f>TEXT(digital_banking_transactions3[[#This Row],[Tanggal_Bersih]],"MMMM YYYY")</f>
        <v>December 2024</v>
      </c>
      <c r="T63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3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39" spans="1:21" x14ac:dyDescent="0.35">
      <c r="A639" s="1" t="s">
        <v>2599</v>
      </c>
      <c r="B639" s="1" t="s">
        <v>2600</v>
      </c>
      <c r="C639" s="1" t="s">
        <v>2601</v>
      </c>
      <c r="D639" s="1" t="s">
        <v>46</v>
      </c>
      <c r="E639" s="1" t="s">
        <v>17</v>
      </c>
      <c r="F639" s="1">
        <v>3864809</v>
      </c>
      <c r="G639" s="1" t="s">
        <v>89</v>
      </c>
      <c r="H639" s="1" t="s">
        <v>60</v>
      </c>
      <c r="I639" s="1" t="s">
        <v>21</v>
      </c>
      <c r="J639" s="1" t="s">
        <v>21</v>
      </c>
      <c r="K639">
        <v>2500</v>
      </c>
      <c r="L639">
        <v>2803</v>
      </c>
      <c r="M639">
        <v>0</v>
      </c>
      <c r="N63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3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39" s="5">
        <v>3864809</v>
      </c>
      <c r="Q639" t="str">
        <f>IF(OR(digital_banking_transactions3[[#This Row],[Nominal_Bersih]]&lt;0,digital_banking_transactions3[[#This Row],[Nominal_Bersih]]=0),"Invalid","Valid")</f>
        <v>Valid</v>
      </c>
      <c r="R63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45494</v>
      </c>
      <c r="S639" s="1" t="str">
        <f>TEXT(digital_banking_transactions3[[#This Row],[Tanggal_Bersih]],"MMMM YYYY")</f>
        <v>July 2024</v>
      </c>
      <c r="T63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3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40" spans="1:21" x14ac:dyDescent="0.35">
      <c r="A640" s="1" t="s">
        <v>2603</v>
      </c>
      <c r="B640" s="1" t="s">
        <v>2604</v>
      </c>
      <c r="C640" s="1" t="s">
        <v>2605</v>
      </c>
      <c r="D640" s="1" t="s">
        <v>58</v>
      </c>
      <c r="E640" s="1" t="s">
        <v>32</v>
      </c>
      <c r="F640" s="1">
        <v>2725575</v>
      </c>
      <c r="G640" s="1" t="s">
        <v>65</v>
      </c>
      <c r="H640" s="1" t="s">
        <v>42</v>
      </c>
      <c r="I640" s="1" t="s">
        <v>21</v>
      </c>
      <c r="J640" s="1" t="s">
        <v>21</v>
      </c>
      <c r="K640">
        <v>0</v>
      </c>
      <c r="L640">
        <v>3042</v>
      </c>
      <c r="M640">
        <v>0</v>
      </c>
      <c r="N64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4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40" s="5">
        <v>2725575</v>
      </c>
      <c r="Q640" t="str">
        <f>IF(OR(digital_banking_transactions3[[#This Row],[Nominal_Bersih]]&lt;0,digital_banking_transactions3[[#This Row],[Nominal_Bersih]]=0),"Invalid","Valid")</f>
        <v>Valid</v>
      </c>
      <c r="R64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45347</v>
      </c>
      <c r="S640" s="1" t="str">
        <f>TEXT(digital_banking_transactions3[[#This Row],[Tanggal_Bersih]],"MMMM YYYY")</f>
        <v>February 2024</v>
      </c>
      <c r="T64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4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41" spans="1:21" x14ac:dyDescent="0.35">
      <c r="A641" s="1" t="s">
        <v>2607</v>
      </c>
      <c r="B641" s="1" t="s">
        <v>2608</v>
      </c>
      <c r="C641" s="1" t="s">
        <v>2609</v>
      </c>
      <c r="D641" s="1" t="s">
        <v>46</v>
      </c>
      <c r="E641" s="1" t="s">
        <v>39</v>
      </c>
      <c r="F641" s="1">
        <v>2410216</v>
      </c>
      <c r="G641" s="1" t="s">
        <v>126</v>
      </c>
      <c r="H641" s="1" t="s">
        <v>42</v>
      </c>
      <c r="I641" s="1" t="s">
        <v>21</v>
      </c>
      <c r="J641" s="1" t="s">
        <v>21</v>
      </c>
      <c r="K641">
        <v>7500</v>
      </c>
      <c r="L641">
        <v>2261</v>
      </c>
      <c r="M641">
        <v>1</v>
      </c>
      <c r="N64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4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41" s="5">
        <v>2410216</v>
      </c>
      <c r="Q641" t="str">
        <f>IF(OR(digital_banking_transactions3[[#This Row],[Nominal_Bersih]]&lt;0,digital_banking_transactions3[[#This Row],[Nominal_Bersih]]=0),"Invalid","Valid")</f>
        <v>Valid</v>
      </c>
      <c r="R64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45650</v>
      </c>
      <c r="S641" s="1" t="str">
        <f>TEXT(digital_banking_transactions3[[#This Row],[Tanggal_Bersih]],"MMMM YYYY")</f>
        <v>December 2024</v>
      </c>
      <c r="T64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4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42" spans="1:21" x14ac:dyDescent="0.35">
      <c r="A642" s="1" t="s">
        <v>2611</v>
      </c>
      <c r="B642" s="1" t="s">
        <v>2612</v>
      </c>
      <c r="C642" s="1" t="s">
        <v>2613</v>
      </c>
      <c r="D642" s="1" t="s">
        <v>75</v>
      </c>
      <c r="E642" s="1" t="s">
        <v>52</v>
      </c>
      <c r="F642" s="1">
        <v>1870626</v>
      </c>
      <c r="G642" s="1" t="s">
        <v>65</v>
      </c>
      <c r="H642" s="1" t="s">
        <v>60</v>
      </c>
      <c r="I642" s="1" t="s">
        <v>112</v>
      </c>
      <c r="J642" s="1" t="s">
        <v>79</v>
      </c>
      <c r="K642">
        <v>6500</v>
      </c>
      <c r="L642">
        <v>2314</v>
      </c>
      <c r="M642">
        <v>0</v>
      </c>
      <c r="N64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4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42" s="5">
        <v>1870626</v>
      </c>
      <c r="Q642" t="str">
        <f>IF(OR(digital_banking_transactions3[[#This Row],[Nominal_Bersih]]&lt;0,digital_banking_transactions3[[#This Row],[Nominal_Bersih]]=0),"Invalid","Valid")</f>
        <v>Valid</v>
      </c>
      <c r="R64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45369</v>
      </c>
      <c r="S642" s="1" t="str">
        <f>TEXT(digital_banking_transactions3[[#This Row],[Tanggal_Bersih]],"MMMM YYYY")</f>
        <v>March 2024</v>
      </c>
      <c r="T64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4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43" spans="1:21" x14ac:dyDescent="0.35">
      <c r="A643" s="1" t="s">
        <v>2615</v>
      </c>
      <c r="B643" s="1" t="s">
        <v>2616</v>
      </c>
      <c r="C643" s="1" t="s">
        <v>2617</v>
      </c>
      <c r="D643" s="1" t="s">
        <v>46</v>
      </c>
      <c r="E643" s="1" t="s">
        <v>17</v>
      </c>
      <c r="F643" s="1" t="s">
        <v>2618</v>
      </c>
      <c r="G643" s="1" t="s">
        <v>126</v>
      </c>
      <c r="H643" s="1" t="s">
        <v>106</v>
      </c>
      <c r="I643" s="1" t="s">
        <v>21</v>
      </c>
      <c r="J643" s="1" t="s">
        <v>21</v>
      </c>
      <c r="K643">
        <v>2500</v>
      </c>
      <c r="L643">
        <v>921</v>
      </c>
      <c r="M643">
        <v>0</v>
      </c>
      <c r="N64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4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43" s="5" t="s">
        <v>2618</v>
      </c>
      <c r="Q643" t="str">
        <f>IF(OR(digital_banking_transactions3[[#This Row],[Nominal_Bersih]]&lt;0,digital_banking_transactions3[[#This Row],[Nominal_Bersih]]=0),"Invalid","Valid")</f>
        <v>Valid</v>
      </c>
      <c r="R64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45394</v>
      </c>
      <c r="S643" s="1" t="str">
        <f>TEXT(digital_banking_transactions3[[#This Row],[Tanggal_Bersih]],"MMMM YYYY")</f>
        <v>April 2024</v>
      </c>
      <c r="T64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4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44" spans="1:21" x14ac:dyDescent="0.35">
      <c r="A644" s="1" t="s">
        <v>2619</v>
      </c>
      <c r="B644" s="1" t="s">
        <v>2620</v>
      </c>
      <c r="C644" s="1" t="s">
        <v>2621</v>
      </c>
      <c r="D644" s="1" t="s">
        <v>58</v>
      </c>
      <c r="E644" s="1" t="s">
        <v>94</v>
      </c>
      <c r="F644" s="1" t="s">
        <v>2622</v>
      </c>
      <c r="G644" s="1" t="s">
        <v>34</v>
      </c>
      <c r="H644" s="1" t="s">
        <v>20</v>
      </c>
      <c r="I644" s="1" t="s">
        <v>21</v>
      </c>
      <c r="J644" s="1" t="s">
        <v>21</v>
      </c>
      <c r="K644">
        <v>1500</v>
      </c>
      <c r="L644">
        <v>432</v>
      </c>
      <c r="M644">
        <v>0</v>
      </c>
      <c r="N64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4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44" s="5" t="s">
        <v>2622</v>
      </c>
      <c r="Q644" t="str">
        <f>IF(OR(digital_banking_transactions3[[#This Row],[Nominal_Bersih]]&lt;0,digital_banking_transactions3[[#This Row],[Nominal_Bersih]]=0),"Invalid","Valid")</f>
        <v>Valid</v>
      </c>
      <c r="R64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45493</v>
      </c>
      <c r="S644" s="1" t="str">
        <f>TEXT(digital_banking_transactions3[[#This Row],[Tanggal_Bersih]],"MMMM YYYY")</f>
        <v>July 2024</v>
      </c>
      <c r="T64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4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45" spans="1:21" x14ac:dyDescent="0.35">
      <c r="A645" s="1" t="s">
        <v>2623</v>
      </c>
      <c r="B645" s="1" t="s">
        <v>2624</v>
      </c>
      <c r="C645" s="1" t="s">
        <v>2625</v>
      </c>
      <c r="D645" s="1" t="s">
        <v>546</v>
      </c>
      <c r="E645" s="1" t="s">
        <v>52</v>
      </c>
      <c r="F645" s="1" t="s">
        <v>2626</v>
      </c>
      <c r="G645" s="1" t="s">
        <v>65</v>
      </c>
      <c r="H645" s="1" t="s">
        <v>60</v>
      </c>
      <c r="I645" s="1" t="s">
        <v>138</v>
      </c>
      <c r="J645" s="1" t="s">
        <v>121</v>
      </c>
      <c r="K645">
        <v>6500</v>
      </c>
      <c r="L645">
        <v>3385</v>
      </c>
      <c r="M645">
        <v>0</v>
      </c>
      <c r="N64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4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45" s="5" t="s">
        <v>2626</v>
      </c>
      <c r="Q645" t="str">
        <f>IF(OR(digital_banking_transactions3[[#This Row],[Nominal_Bersih]]&lt;0,digital_banking_transactions3[[#This Row],[Nominal_Bersih]]=0),"Invalid","Valid")</f>
        <v>Valid</v>
      </c>
      <c r="R64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45514</v>
      </c>
      <c r="S645" s="1" t="str">
        <f>TEXT(digital_banking_transactions3[[#This Row],[Tanggal_Bersih]],"MMMM YYYY")</f>
        <v>August 2024</v>
      </c>
      <c r="T64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4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46" spans="1:21" x14ac:dyDescent="0.35">
      <c r="A646" s="1" t="s">
        <v>2627</v>
      </c>
      <c r="B646" s="1" t="s">
        <v>2480</v>
      </c>
      <c r="C646" s="1" t="s">
        <v>2628</v>
      </c>
      <c r="D646" s="1" t="s">
        <v>58</v>
      </c>
      <c r="E646" s="1" t="s">
        <v>32</v>
      </c>
      <c r="F646" s="1" t="s">
        <v>2629</v>
      </c>
      <c r="G646" s="1" t="s">
        <v>65</v>
      </c>
      <c r="H646" s="1" t="s">
        <v>96</v>
      </c>
      <c r="I646" s="1" t="s">
        <v>21</v>
      </c>
      <c r="J646" s="1" t="s">
        <v>21</v>
      </c>
      <c r="K646">
        <v>0</v>
      </c>
      <c r="L646">
        <v>4353</v>
      </c>
      <c r="M646">
        <v>0</v>
      </c>
      <c r="N64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4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46" s="5" t="s">
        <v>2629</v>
      </c>
      <c r="Q646" t="str">
        <f>IF(OR(digital_banking_transactions3[[#This Row],[Nominal_Bersih]]&lt;0,digital_banking_transactions3[[#This Row],[Nominal_Bersih]]=0),"Invalid","Valid")</f>
        <v>Valid</v>
      </c>
      <c r="R64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45571</v>
      </c>
      <c r="S646" s="1" t="str">
        <f>TEXT(digital_banking_transactions3[[#This Row],[Tanggal_Bersih]],"MMMM YYYY")</f>
        <v>October 2024</v>
      </c>
      <c r="T64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4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47" spans="1:21" x14ac:dyDescent="0.35">
      <c r="A647" s="1" t="s">
        <v>2630</v>
      </c>
      <c r="B647" s="1" t="s">
        <v>2631</v>
      </c>
      <c r="C647" s="1" t="s">
        <v>2632</v>
      </c>
      <c r="D647" s="1" t="s">
        <v>75</v>
      </c>
      <c r="E647" s="1" t="s">
        <v>39</v>
      </c>
      <c r="F647" s="1" t="s">
        <v>2633</v>
      </c>
      <c r="G647" s="1" t="s">
        <v>41</v>
      </c>
      <c r="H647" s="1" t="s">
        <v>35</v>
      </c>
      <c r="I647" s="1" t="s">
        <v>21</v>
      </c>
      <c r="J647" s="1" t="s">
        <v>121</v>
      </c>
      <c r="K647">
        <v>7500</v>
      </c>
      <c r="L647">
        <v>976</v>
      </c>
      <c r="M647">
        <v>0</v>
      </c>
      <c r="N64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4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47" s="5" t="s">
        <v>2633</v>
      </c>
      <c r="Q647" t="str">
        <f>IF(OR(digital_banking_transactions3[[#This Row],[Nominal_Bersih]]&lt;0,digital_banking_transactions3[[#This Row],[Nominal_Bersih]]=0),"Invalid","Valid")</f>
        <v>Valid</v>
      </c>
      <c r="R64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45360</v>
      </c>
      <c r="S647" s="1" t="str">
        <f>TEXT(digital_banking_transactions3[[#This Row],[Tanggal_Bersih]],"MMMM YYYY")</f>
        <v>March 2024</v>
      </c>
      <c r="T64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4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48" spans="1:21" x14ac:dyDescent="0.35">
      <c r="A648" s="1" t="s">
        <v>2634</v>
      </c>
      <c r="B648" s="1" t="s">
        <v>2635</v>
      </c>
      <c r="C648" s="1" t="s">
        <v>2636</v>
      </c>
      <c r="D648" s="1" t="s">
        <v>16</v>
      </c>
      <c r="E648" s="1" t="s">
        <v>17</v>
      </c>
      <c r="F648" s="1" t="s">
        <v>2637</v>
      </c>
      <c r="G648" s="1" t="s">
        <v>65</v>
      </c>
      <c r="H648" s="1" t="s">
        <v>20</v>
      </c>
      <c r="I648" s="1" t="s">
        <v>21</v>
      </c>
      <c r="J648" s="1" t="s">
        <v>21</v>
      </c>
      <c r="K648">
        <v>2500</v>
      </c>
      <c r="L648">
        <v>2409</v>
      </c>
      <c r="M648">
        <v>0</v>
      </c>
      <c r="N64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4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48" s="5" t="s">
        <v>2637</v>
      </c>
      <c r="Q648" t="str">
        <f>IF(OR(digital_banking_transactions3[[#This Row],[Nominal_Bersih]]&lt;0,digital_banking_transactions3[[#This Row],[Nominal_Bersih]]=0),"Invalid","Valid")</f>
        <v>Valid</v>
      </c>
      <c r="R64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45410</v>
      </c>
      <c r="S648" s="1" t="str">
        <f>TEXT(digital_banking_transactions3[[#This Row],[Tanggal_Bersih]],"MMMM YYYY")</f>
        <v>April 2024</v>
      </c>
      <c r="T64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4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49" spans="1:21" x14ac:dyDescent="0.35">
      <c r="A649" s="1" t="s">
        <v>2638</v>
      </c>
      <c r="B649" s="1" t="s">
        <v>2639</v>
      </c>
      <c r="C649" s="1" t="s">
        <v>2640</v>
      </c>
      <c r="D649" s="1" t="s">
        <v>254</v>
      </c>
      <c r="E649" s="1" t="s">
        <v>17</v>
      </c>
      <c r="F649" s="1" t="s">
        <v>2641</v>
      </c>
      <c r="G649" s="1" t="s">
        <v>34</v>
      </c>
      <c r="H649" s="1" t="s">
        <v>42</v>
      </c>
      <c r="I649" s="1" t="s">
        <v>21</v>
      </c>
      <c r="J649" s="1" t="s">
        <v>21</v>
      </c>
      <c r="K649">
        <v>2500</v>
      </c>
      <c r="L649">
        <v>4069</v>
      </c>
      <c r="M649">
        <v>1</v>
      </c>
      <c r="N64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4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49" s="5" t="s">
        <v>2641</v>
      </c>
      <c r="Q649" t="str">
        <f>IF(OR(digital_banking_transactions3[[#This Row],[Nominal_Bersih]]&lt;0,digital_banking_transactions3[[#This Row],[Nominal_Bersih]]=0),"Invalid","Valid")</f>
        <v>Valid</v>
      </c>
      <c r="R64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45629</v>
      </c>
      <c r="S649" s="1" t="str">
        <f>TEXT(digital_banking_transactions3[[#This Row],[Tanggal_Bersih]],"MMMM YYYY")</f>
        <v>December 2024</v>
      </c>
      <c r="T64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4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50" spans="1:21" x14ac:dyDescent="0.35">
      <c r="A650" s="1" t="s">
        <v>2642</v>
      </c>
      <c r="B650" s="1" t="s">
        <v>2643</v>
      </c>
      <c r="C650" s="1" t="s">
        <v>2644</v>
      </c>
      <c r="D650" s="1" t="s">
        <v>25</v>
      </c>
      <c r="E650" s="1" t="s">
        <v>52</v>
      </c>
      <c r="F650" s="1" t="s">
        <v>2645</v>
      </c>
      <c r="G650" s="1" t="s">
        <v>65</v>
      </c>
      <c r="H650" s="1" t="s">
        <v>20</v>
      </c>
      <c r="I650" s="1" t="s">
        <v>112</v>
      </c>
      <c r="J650" s="1" t="s">
        <v>71</v>
      </c>
      <c r="K650">
        <v>6500</v>
      </c>
      <c r="L650">
        <v>4905</v>
      </c>
      <c r="M650">
        <v>0</v>
      </c>
      <c r="N65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5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50" s="5" t="s">
        <v>2645</v>
      </c>
      <c r="Q650" t="str">
        <f>IF(OR(digital_banking_transactions3[[#This Row],[Nominal_Bersih]]&lt;0,digital_banking_transactions3[[#This Row],[Nominal_Bersih]]=0),"Invalid","Valid")</f>
        <v>Valid</v>
      </c>
      <c r="R65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45307</v>
      </c>
      <c r="S650" s="1" t="str">
        <f>TEXT(digital_banking_transactions3[[#This Row],[Tanggal_Bersih]],"MMMM YYYY")</f>
        <v>January 2024</v>
      </c>
      <c r="T65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5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51" spans="1:21" x14ac:dyDescent="0.35">
      <c r="A651" s="1" t="s">
        <v>2646</v>
      </c>
      <c r="B651" s="1" t="s">
        <v>2647</v>
      </c>
      <c r="C651" s="1" t="s">
        <v>2648</v>
      </c>
      <c r="D651" s="1" t="s">
        <v>25</v>
      </c>
      <c r="E651" s="1" t="s">
        <v>17</v>
      </c>
      <c r="F651" s="1" t="s">
        <v>2649</v>
      </c>
      <c r="G651" s="1" t="s">
        <v>126</v>
      </c>
      <c r="H651" s="1" t="s">
        <v>20</v>
      </c>
      <c r="I651" s="1" t="s">
        <v>21</v>
      </c>
      <c r="J651" s="1" t="s">
        <v>79</v>
      </c>
      <c r="L651">
        <v>201</v>
      </c>
      <c r="M651">
        <v>0</v>
      </c>
      <c r="N65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5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51" s="5" t="s">
        <v>2649</v>
      </c>
      <c r="Q651" t="str">
        <f>IF(OR(digital_banking_transactions3[[#This Row],[Nominal_Bersih]]&lt;0,digital_banking_transactions3[[#This Row],[Nominal_Bersih]]=0),"Invalid","Valid")</f>
        <v>Valid</v>
      </c>
      <c r="R65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45334</v>
      </c>
      <c r="S651" s="1" t="str">
        <f>TEXT(digital_banking_transactions3[[#This Row],[Tanggal_Bersih]],"MMMM YYYY")</f>
        <v>February 2024</v>
      </c>
      <c r="T65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5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52" spans="1:21" x14ac:dyDescent="0.35">
      <c r="A652" s="1" t="s">
        <v>2650</v>
      </c>
      <c r="B652" s="1" t="s">
        <v>2651</v>
      </c>
      <c r="C652" s="1" t="s">
        <v>2652</v>
      </c>
      <c r="D652" s="1" t="s">
        <v>93</v>
      </c>
      <c r="E652" s="1" t="s">
        <v>32</v>
      </c>
      <c r="F652" s="1" t="s">
        <v>2653</v>
      </c>
      <c r="G652" s="1" t="s">
        <v>195</v>
      </c>
      <c r="H652" s="1" t="s">
        <v>20</v>
      </c>
      <c r="I652" s="1" t="s">
        <v>21</v>
      </c>
      <c r="J652" s="1" t="s">
        <v>21</v>
      </c>
      <c r="L652">
        <v>333</v>
      </c>
      <c r="M652">
        <v>0</v>
      </c>
      <c r="N65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5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52" s="5" t="s">
        <v>2653</v>
      </c>
      <c r="Q652" t="str">
        <f>IF(OR(digital_banking_transactions3[[#This Row],[Nominal_Bersih]]&lt;0,digital_banking_transactions3[[#This Row],[Nominal_Bersih]]=0),"Invalid","Valid")</f>
        <v>Valid</v>
      </c>
      <c r="R65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45555</v>
      </c>
      <c r="S652" s="1" t="str">
        <f>TEXT(digital_banking_transactions3[[#This Row],[Tanggal_Bersih]],"MMMM YYYY")</f>
        <v>September 2024</v>
      </c>
      <c r="T65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5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53" spans="1:21" x14ac:dyDescent="0.35">
      <c r="A653" s="1" t="s">
        <v>2654</v>
      </c>
      <c r="B653" s="1" t="s">
        <v>2655</v>
      </c>
      <c r="C653" s="1" t="s">
        <v>2656</v>
      </c>
      <c r="D653" s="1" t="s">
        <v>546</v>
      </c>
      <c r="E653" s="1" t="s">
        <v>17</v>
      </c>
      <c r="F653" s="1" t="s">
        <v>2657</v>
      </c>
      <c r="G653" s="1" t="s">
        <v>126</v>
      </c>
      <c r="H653" s="1" t="s">
        <v>54</v>
      </c>
      <c r="I653" s="1" t="s">
        <v>21</v>
      </c>
      <c r="J653" s="1" t="s">
        <v>79</v>
      </c>
      <c r="L653">
        <v>3674</v>
      </c>
      <c r="M653">
        <v>0</v>
      </c>
      <c r="N65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5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53" s="5" t="s">
        <v>2657</v>
      </c>
      <c r="Q653" t="str">
        <f>IF(OR(digital_banking_transactions3[[#This Row],[Nominal_Bersih]]&lt;0,digital_banking_transactions3[[#This Row],[Nominal_Bersih]]=0),"Invalid","Valid")</f>
        <v>Valid</v>
      </c>
      <c r="R65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45403</v>
      </c>
      <c r="S653" s="1" t="str">
        <f>TEXT(digital_banking_transactions3[[#This Row],[Tanggal_Bersih]],"MMMM YYYY")</f>
        <v>April 2024</v>
      </c>
      <c r="T65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5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54" spans="1:21" x14ac:dyDescent="0.35">
      <c r="A654" s="1" t="s">
        <v>2658</v>
      </c>
      <c r="B654" s="1" t="s">
        <v>1416</v>
      </c>
      <c r="C654" s="1" t="s">
        <v>2659</v>
      </c>
      <c r="D654" s="1" t="s">
        <v>16</v>
      </c>
      <c r="E654" s="1" t="s">
        <v>32</v>
      </c>
      <c r="F654" s="1" t="s">
        <v>2660</v>
      </c>
      <c r="G654" s="1" t="s">
        <v>485</v>
      </c>
      <c r="H654" s="1" t="s">
        <v>60</v>
      </c>
      <c r="I654" s="1" t="s">
        <v>21</v>
      </c>
      <c r="J654" s="1" t="s">
        <v>21</v>
      </c>
      <c r="K654">
        <v>0</v>
      </c>
      <c r="L654">
        <v>418</v>
      </c>
      <c r="M654">
        <v>0</v>
      </c>
      <c r="N65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5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54" s="5" t="s">
        <v>2660</v>
      </c>
      <c r="Q654" t="str">
        <f>IF(OR(digital_banking_transactions3[[#This Row],[Nominal_Bersih]]&lt;0,digital_banking_transactions3[[#This Row],[Nominal_Bersih]]=0),"Invalid","Valid")</f>
        <v>Valid</v>
      </c>
      <c r="R65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45605</v>
      </c>
      <c r="S654" s="1" t="str">
        <f>TEXT(digital_banking_transactions3[[#This Row],[Tanggal_Bersih]],"MMMM YYYY")</f>
        <v>November 2024</v>
      </c>
      <c r="T65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5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55" spans="1:21" x14ac:dyDescent="0.35">
      <c r="A655" s="1" t="s">
        <v>2661</v>
      </c>
      <c r="B655" s="1" t="s">
        <v>2662</v>
      </c>
      <c r="C655" s="1" t="s">
        <v>2663</v>
      </c>
      <c r="D655" s="1" t="s">
        <v>546</v>
      </c>
      <c r="E655" s="1" t="s">
        <v>32</v>
      </c>
      <c r="F655" s="1" t="s">
        <v>2664</v>
      </c>
      <c r="G655" s="1" t="s">
        <v>41</v>
      </c>
      <c r="H655" s="1" t="s">
        <v>60</v>
      </c>
      <c r="I655" s="1" t="s">
        <v>21</v>
      </c>
      <c r="J655" s="1" t="s">
        <v>71</v>
      </c>
      <c r="K655">
        <v>0</v>
      </c>
      <c r="L655">
        <v>4577</v>
      </c>
      <c r="M655">
        <v>1</v>
      </c>
      <c r="N65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5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55" s="5" t="s">
        <v>2664</v>
      </c>
      <c r="Q655" t="str">
        <f>IF(OR(digital_banking_transactions3[[#This Row],[Nominal_Bersih]]&lt;0,digital_banking_transactions3[[#This Row],[Nominal_Bersih]]=0),"Invalid","Valid")</f>
        <v>Valid</v>
      </c>
      <c r="R65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45414</v>
      </c>
      <c r="S655" s="1" t="str">
        <f>TEXT(digital_banking_transactions3[[#This Row],[Tanggal_Bersih]],"MMMM YYYY")</f>
        <v>May 2024</v>
      </c>
      <c r="T65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5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56" spans="1:21" x14ac:dyDescent="0.35">
      <c r="A656" s="1" t="s">
        <v>2665</v>
      </c>
      <c r="B656" s="1" t="s">
        <v>2666</v>
      </c>
      <c r="C656" s="1" t="s">
        <v>2667</v>
      </c>
      <c r="D656" s="1" t="s">
        <v>58</v>
      </c>
      <c r="E656" s="1" t="s">
        <v>52</v>
      </c>
      <c r="F656" s="1" t="s">
        <v>2668</v>
      </c>
      <c r="G656" s="1" t="s">
        <v>65</v>
      </c>
      <c r="H656" s="1" t="s">
        <v>20</v>
      </c>
      <c r="I656" s="1" t="s">
        <v>291</v>
      </c>
      <c r="J656" s="1" t="s">
        <v>21</v>
      </c>
      <c r="K656">
        <v>6500</v>
      </c>
      <c r="L656">
        <v>1882</v>
      </c>
      <c r="M656">
        <v>0</v>
      </c>
      <c r="N65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5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56" s="5" t="s">
        <v>2668</v>
      </c>
      <c r="Q656" t="str">
        <f>IF(OR(digital_banking_transactions3[[#This Row],[Nominal_Bersih]]&lt;0,digital_banking_transactions3[[#This Row],[Nominal_Bersih]]=0),"Invalid","Valid")</f>
        <v>Valid</v>
      </c>
      <c r="R65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45408</v>
      </c>
      <c r="S656" s="1" t="str">
        <f>TEXT(digital_banking_transactions3[[#This Row],[Tanggal_Bersih]],"MMMM YYYY")</f>
        <v>April 2024</v>
      </c>
      <c r="T65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5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57" spans="1:21" x14ac:dyDescent="0.35">
      <c r="A657" s="1" t="s">
        <v>2670</v>
      </c>
      <c r="B657" s="1" t="s">
        <v>2671</v>
      </c>
      <c r="C657" s="1" t="s">
        <v>2672</v>
      </c>
      <c r="D657" s="1" t="s">
        <v>284</v>
      </c>
      <c r="E657" s="1" t="s">
        <v>39</v>
      </c>
      <c r="F657" s="4">
        <v>2060449</v>
      </c>
      <c r="G657" s="1" t="s">
        <v>41</v>
      </c>
      <c r="H657" s="1" t="s">
        <v>106</v>
      </c>
      <c r="I657" s="1" t="s">
        <v>21</v>
      </c>
      <c r="J657" s="1" t="s">
        <v>21</v>
      </c>
      <c r="K657">
        <v>7500</v>
      </c>
      <c r="L657">
        <v>1800</v>
      </c>
      <c r="M657">
        <v>0</v>
      </c>
      <c r="N65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5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57" s="5">
        <v>2060449</v>
      </c>
      <c r="Q657" t="str">
        <f>IF(OR(digital_banking_transactions3[[#This Row],[Nominal_Bersih]]&lt;0,digital_banking_transactions3[[#This Row],[Nominal_Bersih]]=0),"Invalid","Valid")</f>
        <v>Valid</v>
      </c>
      <c r="R65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45560</v>
      </c>
      <c r="S657" s="1" t="str">
        <f>TEXT(digital_banking_transactions3[[#This Row],[Tanggal_Bersih]],"MMMM YYYY")</f>
        <v>September 2024</v>
      </c>
      <c r="T65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5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58" spans="1:21" x14ac:dyDescent="0.35">
      <c r="A658" s="1" t="s">
        <v>2674</v>
      </c>
      <c r="B658" s="1" t="s">
        <v>2675</v>
      </c>
      <c r="C658" s="1" t="s">
        <v>2676</v>
      </c>
      <c r="D658" s="1" t="s">
        <v>16</v>
      </c>
      <c r="E658" s="1" t="s">
        <v>39</v>
      </c>
      <c r="F658" s="1">
        <v>4500728500</v>
      </c>
      <c r="G658" s="1" t="s">
        <v>105</v>
      </c>
      <c r="H658" s="1" t="s">
        <v>54</v>
      </c>
      <c r="I658" s="1" t="s">
        <v>21</v>
      </c>
      <c r="J658" s="1" t="s">
        <v>21</v>
      </c>
      <c r="K658">
        <v>7500</v>
      </c>
      <c r="L658">
        <v>4220</v>
      </c>
      <c r="M658">
        <v>0</v>
      </c>
      <c r="N65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5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58" s="5">
        <v>4500728500</v>
      </c>
      <c r="Q658" t="str">
        <f>IF(OR(digital_banking_transactions3[[#This Row],[Nominal_Bersih]]&lt;0,digital_banking_transactions3[[#This Row],[Nominal_Bersih]]=0),"Invalid","Valid")</f>
        <v>Valid</v>
      </c>
      <c r="R65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45306</v>
      </c>
      <c r="S658" s="1" t="str">
        <f>TEXT(digital_banking_transactions3[[#This Row],[Tanggal_Bersih]],"MMMM YYYY")</f>
        <v>January 2024</v>
      </c>
      <c r="T65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5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59" spans="1:21" x14ac:dyDescent="0.35">
      <c r="A659" s="1" t="s">
        <v>2678</v>
      </c>
      <c r="B659" s="1" t="s">
        <v>2679</v>
      </c>
      <c r="C659" s="1" t="s">
        <v>2680</v>
      </c>
      <c r="D659" s="1" t="s">
        <v>16</v>
      </c>
      <c r="E659" s="1" t="s">
        <v>32</v>
      </c>
      <c r="F659" s="1" t="s">
        <v>2681</v>
      </c>
      <c r="G659" s="1" t="s">
        <v>65</v>
      </c>
      <c r="H659" s="1" t="s">
        <v>106</v>
      </c>
      <c r="I659" s="1" t="s">
        <v>21</v>
      </c>
      <c r="J659" s="1" t="s">
        <v>21</v>
      </c>
      <c r="K659">
        <v>0</v>
      </c>
      <c r="L659">
        <v>2985</v>
      </c>
      <c r="M659">
        <v>0</v>
      </c>
      <c r="N65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5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59" s="5" t="s">
        <v>2681</v>
      </c>
      <c r="Q659" t="str">
        <f>IF(OR(digital_banking_transactions3[[#This Row],[Nominal_Bersih]]&lt;0,digital_banking_transactions3[[#This Row],[Nominal_Bersih]]=0),"Invalid","Valid")</f>
        <v>Valid</v>
      </c>
      <c r="R65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45592</v>
      </c>
      <c r="S659" s="1" t="str">
        <f>TEXT(digital_banking_transactions3[[#This Row],[Tanggal_Bersih]],"MMMM YYYY")</f>
        <v>October 2024</v>
      </c>
      <c r="T65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5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60" spans="1:21" x14ac:dyDescent="0.35">
      <c r="A660" s="1" t="s">
        <v>2682</v>
      </c>
      <c r="B660" s="1" t="s">
        <v>2683</v>
      </c>
      <c r="C660" s="1" t="s">
        <v>2684</v>
      </c>
      <c r="D660" s="1" t="s">
        <v>75</v>
      </c>
      <c r="E660" s="1" t="s">
        <v>32</v>
      </c>
      <c r="F660" s="1">
        <v>1449295</v>
      </c>
      <c r="G660" s="1" t="s">
        <v>34</v>
      </c>
      <c r="H660" s="1" t="s">
        <v>35</v>
      </c>
      <c r="I660" s="1" t="s">
        <v>21</v>
      </c>
      <c r="J660" s="1" t="s">
        <v>121</v>
      </c>
      <c r="K660">
        <v>0</v>
      </c>
      <c r="L660">
        <v>2178</v>
      </c>
      <c r="M660">
        <v>1</v>
      </c>
      <c r="N66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6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60" s="5">
        <v>1449295</v>
      </c>
      <c r="Q660" t="str">
        <f>IF(OR(digital_banking_transactions3[[#This Row],[Nominal_Bersih]]&lt;0,digital_banking_transactions3[[#This Row],[Nominal_Bersih]]=0),"Invalid","Valid")</f>
        <v>Valid</v>
      </c>
      <c r="R66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45589</v>
      </c>
      <c r="S660" s="1" t="str">
        <f>TEXT(digital_banking_transactions3[[#This Row],[Tanggal_Bersih]],"MMMM YYYY")</f>
        <v>October 2024</v>
      </c>
      <c r="T66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6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61" spans="1:21" x14ac:dyDescent="0.35">
      <c r="A661" s="1" t="s">
        <v>2686</v>
      </c>
      <c r="B661" s="1" t="s">
        <v>2687</v>
      </c>
      <c r="C661" s="1" t="s">
        <v>2688</v>
      </c>
      <c r="D661" s="1" t="s">
        <v>16</v>
      </c>
      <c r="E661" s="1" t="s">
        <v>17</v>
      </c>
      <c r="F661" s="1">
        <v>4648433</v>
      </c>
      <c r="G661" s="1" t="s">
        <v>41</v>
      </c>
      <c r="H661" s="1" t="s">
        <v>42</v>
      </c>
      <c r="I661" s="1" t="s">
        <v>21</v>
      </c>
      <c r="J661" s="1" t="s">
        <v>21</v>
      </c>
      <c r="K661">
        <v>2500</v>
      </c>
      <c r="L661">
        <v>305</v>
      </c>
      <c r="M661">
        <v>0</v>
      </c>
      <c r="N66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6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61" s="5">
        <v>4648433</v>
      </c>
      <c r="Q661" t="str">
        <f>IF(OR(digital_banking_transactions3[[#This Row],[Nominal_Bersih]]&lt;0,digital_banking_transactions3[[#This Row],[Nominal_Bersih]]=0),"Invalid","Valid")</f>
        <v>Valid</v>
      </c>
      <c r="R66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45441</v>
      </c>
      <c r="S661" s="1" t="str">
        <f>TEXT(digital_banking_transactions3[[#This Row],[Tanggal_Bersih]],"MMMM YYYY")</f>
        <v>May 2024</v>
      </c>
      <c r="T66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6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62" spans="1:21" x14ac:dyDescent="0.35">
      <c r="A662" s="1" t="s">
        <v>2690</v>
      </c>
      <c r="B662" s="1" t="s">
        <v>2691</v>
      </c>
      <c r="C662" s="1" t="s">
        <v>2692</v>
      </c>
      <c r="D662" s="1" t="s">
        <v>284</v>
      </c>
      <c r="E662" s="1" t="s">
        <v>52</v>
      </c>
      <c r="F662" s="4">
        <v>36754961</v>
      </c>
      <c r="G662" s="1" t="s">
        <v>65</v>
      </c>
      <c r="H662" s="1" t="s">
        <v>106</v>
      </c>
      <c r="I662" s="1" t="s">
        <v>112</v>
      </c>
      <c r="J662" s="1" t="s">
        <v>21</v>
      </c>
      <c r="K662">
        <v>6500</v>
      </c>
      <c r="L662">
        <v>1235</v>
      </c>
      <c r="M662">
        <v>0</v>
      </c>
      <c r="N66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6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62" s="5">
        <v>36754961</v>
      </c>
      <c r="Q662" t="str">
        <f>IF(OR(digital_banking_transactions3[[#This Row],[Nominal_Bersih]]&lt;0,digital_banking_transactions3[[#This Row],[Nominal_Bersih]]=0),"Invalid","Valid")</f>
        <v>Valid</v>
      </c>
      <c r="R66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45420</v>
      </c>
      <c r="S662" s="1" t="str">
        <f>TEXT(digital_banking_transactions3[[#This Row],[Tanggal_Bersih]],"MMMM YYYY")</f>
        <v>May 2024</v>
      </c>
      <c r="T66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6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63" spans="1:21" x14ac:dyDescent="0.35">
      <c r="A663" s="1" t="s">
        <v>2694</v>
      </c>
      <c r="B663" s="1" t="s">
        <v>2695</v>
      </c>
      <c r="C663" s="1" t="s">
        <v>2696</v>
      </c>
      <c r="D663" s="1" t="s">
        <v>25</v>
      </c>
      <c r="E663" s="1" t="s">
        <v>17</v>
      </c>
      <c r="F663" s="1" t="s">
        <v>2697</v>
      </c>
      <c r="G663" s="1" t="s">
        <v>126</v>
      </c>
      <c r="H663" s="1" t="s">
        <v>42</v>
      </c>
      <c r="I663" s="1" t="s">
        <v>21</v>
      </c>
      <c r="J663" s="1" t="s">
        <v>71</v>
      </c>
      <c r="K663">
        <v>2500</v>
      </c>
      <c r="M663">
        <v>0</v>
      </c>
      <c r="N66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6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63" s="5" t="s">
        <v>2697</v>
      </c>
      <c r="Q663" t="str">
        <f>IF(OR(digital_banking_transactions3[[#This Row],[Nominal_Bersih]]&lt;0,digital_banking_transactions3[[#This Row],[Nominal_Bersih]]=0),"Invalid","Valid")</f>
        <v>Valid</v>
      </c>
      <c r="R66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45579</v>
      </c>
      <c r="S663" s="1" t="str">
        <f>TEXT(digital_banking_transactions3[[#This Row],[Tanggal_Bersih]],"MMMM YYYY")</f>
        <v>October 2024</v>
      </c>
      <c r="T66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6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Missing</v>
      </c>
    </row>
    <row r="664" spans="1:21" x14ac:dyDescent="0.35">
      <c r="A664" s="1" t="s">
        <v>2698</v>
      </c>
      <c r="B664" s="1" t="s">
        <v>2699</v>
      </c>
      <c r="C664" s="1" t="s">
        <v>2700</v>
      </c>
      <c r="D664" s="1" t="s">
        <v>25</v>
      </c>
      <c r="E664" s="1" t="s">
        <v>94</v>
      </c>
      <c r="F664" s="1">
        <v>229678</v>
      </c>
      <c r="G664" s="1" t="s">
        <v>65</v>
      </c>
      <c r="H664" s="1" t="s">
        <v>20</v>
      </c>
      <c r="I664" s="1" t="s">
        <v>21</v>
      </c>
      <c r="J664" s="1" t="s">
        <v>21</v>
      </c>
      <c r="K664">
        <v>1500</v>
      </c>
      <c r="L664">
        <v>814</v>
      </c>
      <c r="M664">
        <v>0</v>
      </c>
      <c r="N66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6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64" s="5">
        <v>229678</v>
      </c>
      <c r="Q664" t="str">
        <f>IF(OR(digital_banking_transactions3[[#This Row],[Nominal_Bersih]]&lt;0,digital_banking_transactions3[[#This Row],[Nominal_Bersih]]=0),"Invalid","Valid")</f>
        <v>Valid</v>
      </c>
      <c r="R66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45479</v>
      </c>
      <c r="S664" s="1" t="str">
        <f>TEXT(digital_banking_transactions3[[#This Row],[Tanggal_Bersih]],"MMMM YYYY")</f>
        <v>July 2024</v>
      </c>
      <c r="T66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6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65" spans="1:21" x14ac:dyDescent="0.35">
      <c r="A665" s="1" t="s">
        <v>2702</v>
      </c>
      <c r="B665" s="1" t="s">
        <v>2703</v>
      </c>
      <c r="C665" s="1" t="s">
        <v>2704</v>
      </c>
      <c r="D665" s="1" t="s">
        <v>150</v>
      </c>
      <c r="E665" s="1" t="s">
        <v>94</v>
      </c>
      <c r="F665" s="1">
        <v>43668500</v>
      </c>
      <c r="G665" s="1" t="s">
        <v>34</v>
      </c>
      <c r="H665" s="1" t="s">
        <v>20</v>
      </c>
      <c r="I665" s="1" t="s">
        <v>21</v>
      </c>
      <c r="J665" s="1" t="s">
        <v>21</v>
      </c>
      <c r="K665">
        <v>1500</v>
      </c>
      <c r="L665">
        <v>4526</v>
      </c>
      <c r="M665">
        <v>0</v>
      </c>
      <c r="N66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6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65" s="5">
        <v>43668500</v>
      </c>
      <c r="Q665" t="str">
        <f>IF(OR(digital_banking_transactions3[[#This Row],[Nominal_Bersih]]&lt;0,digital_banking_transactions3[[#This Row],[Nominal_Bersih]]=0),"Invalid","Valid")</f>
        <v>Valid</v>
      </c>
      <c r="R66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45543</v>
      </c>
      <c r="S665" s="1" t="str">
        <f>TEXT(digital_banking_transactions3[[#This Row],[Tanggal_Bersih]],"MMMM YYYY")</f>
        <v>September 2024</v>
      </c>
      <c r="T66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6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66" spans="1:21" x14ac:dyDescent="0.35">
      <c r="A666" s="1" t="s">
        <v>2706</v>
      </c>
      <c r="B666" s="1" t="s">
        <v>2707</v>
      </c>
      <c r="C666" s="1" t="s">
        <v>2708</v>
      </c>
      <c r="D666" s="1" t="s">
        <v>25</v>
      </c>
      <c r="E666" s="1" t="s">
        <v>52</v>
      </c>
      <c r="F666" s="1">
        <v>16541</v>
      </c>
      <c r="G666" s="1" t="s">
        <v>41</v>
      </c>
      <c r="H666" s="1" t="s">
        <v>42</v>
      </c>
      <c r="I666" s="1" t="s">
        <v>21</v>
      </c>
      <c r="J666" s="1" t="s">
        <v>71</v>
      </c>
      <c r="K666">
        <v>6500</v>
      </c>
      <c r="L666">
        <v>1621</v>
      </c>
      <c r="M666">
        <v>0</v>
      </c>
      <c r="N66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6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66" s="5">
        <v>16541</v>
      </c>
      <c r="Q666" t="str">
        <f>IF(OR(digital_banking_transactions3[[#This Row],[Nominal_Bersih]]&lt;0,digital_banking_transactions3[[#This Row],[Nominal_Bersih]]=0),"Invalid","Valid")</f>
        <v>Valid</v>
      </c>
      <c r="R66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45596</v>
      </c>
      <c r="S666" s="1" t="str">
        <f>TEXT(digital_banking_transactions3[[#This Row],[Tanggal_Bersih]],"MMMM YYYY")</f>
        <v>October 2024</v>
      </c>
      <c r="T66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6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67" spans="1:21" x14ac:dyDescent="0.35">
      <c r="A667" s="1" t="s">
        <v>2710</v>
      </c>
      <c r="B667" s="1" t="s">
        <v>2711</v>
      </c>
      <c r="C667" s="1" t="s">
        <v>2712</v>
      </c>
      <c r="D667" s="1" t="s">
        <v>75</v>
      </c>
      <c r="E667" s="1" t="s">
        <v>94</v>
      </c>
      <c r="F667" s="1" t="s">
        <v>2713</v>
      </c>
      <c r="G667" s="1" t="s">
        <v>126</v>
      </c>
      <c r="H667" s="1" t="s">
        <v>42</v>
      </c>
      <c r="I667" s="1" t="s">
        <v>21</v>
      </c>
      <c r="J667" s="1" t="s">
        <v>79</v>
      </c>
      <c r="K667">
        <v>1500</v>
      </c>
      <c r="L667">
        <v>2607</v>
      </c>
      <c r="M667">
        <v>0</v>
      </c>
      <c r="N66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6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67" s="5" t="s">
        <v>2713</v>
      </c>
      <c r="Q667" t="str">
        <f>IF(OR(digital_banking_transactions3[[#This Row],[Nominal_Bersih]]&lt;0,digital_banking_transactions3[[#This Row],[Nominal_Bersih]]=0),"Invalid","Valid")</f>
        <v>Valid</v>
      </c>
      <c r="R66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45551</v>
      </c>
      <c r="S667" s="1" t="str">
        <f>TEXT(digital_banking_transactions3[[#This Row],[Tanggal_Bersih]],"MMMM YYYY")</f>
        <v>September 2024</v>
      </c>
      <c r="T66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6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68" spans="1:21" x14ac:dyDescent="0.35">
      <c r="A668" s="1" t="s">
        <v>2714</v>
      </c>
      <c r="B668" s="1" t="s">
        <v>427</v>
      </c>
      <c r="C668" s="1" t="s">
        <v>2715</v>
      </c>
      <c r="D668" s="1" t="s">
        <v>75</v>
      </c>
      <c r="E668" s="1" t="s">
        <v>17</v>
      </c>
      <c r="F668" s="1" t="s">
        <v>2716</v>
      </c>
      <c r="G668" s="1" t="s">
        <v>126</v>
      </c>
      <c r="H668" s="1" t="s">
        <v>60</v>
      </c>
      <c r="I668" s="1" t="s">
        <v>21</v>
      </c>
      <c r="J668" s="1" t="s">
        <v>71</v>
      </c>
      <c r="K668">
        <v>2500</v>
      </c>
      <c r="L668">
        <v>4907</v>
      </c>
      <c r="M668">
        <v>0</v>
      </c>
      <c r="N66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6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68" s="5" t="s">
        <v>2716</v>
      </c>
      <c r="Q668" t="str">
        <f>IF(OR(digital_banking_transactions3[[#This Row],[Nominal_Bersih]]&lt;0,digital_banking_transactions3[[#This Row],[Nominal_Bersih]]=0),"Invalid","Valid")</f>
        <v>Valid</v>
      </c>
      <c r="R66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45525</v>
      </c>
      <c r="S668" s="1" t="str">
        <f>TEXT(digital_banking_transactions3[[#This Row],[Tanggal_Bersih]],"MMMM YYYY")</f>
        <v>August 2024</v>
      </c>
      <c r="T66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6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69" spans="1:21" x14ac:dyDescent="0.35">
      <c r="A669" s="1" t="s">
        <v>2717</v>
      </c>
      <c r="B669" s="1" t="s">
        <v>2718</v>
      </c>
      <c r="C669" s="1" t="s">
        <v>2719</v>
      </c>
      <c r="D669" s="1" t="s">
        <v>58</v>
      </c>
      <c r="E669" s="1" t="s">
        <v>94</v>
      </c>
      <c r="F669" s="1">
        <v>261145</v>
      </c>
      <c r="G669" s="1" t="s">
        <v>126</v>
      </c>
      <c r="H669" s="1" t="s">
        <v>106</v>
      </c>
      <c r="I669" s="1" t="s">
        <v>21</v>
      </c>
      <c r="J669" s="1" t="s">
        <v>21</v>
      </c>
      <c r="K669">
        <v>1500</v>
      </c>
      <c r="L669">
        <v>1562</v>
      </c>
      <c r="M669">
        <v>0</v>
      </c>
      <c r="N66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6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69" s="5">
        <v>261145</v>
      </c>
      <c r="Q669" t="str">
        <f>IF(OR(digital_banking_transactions3[[#This Row],[Nominal_Bersih]]&lt;0,digital_banking_transactions3[[#This Row],[Nominal_Bersih]]=0),"Invalid","Valid")</f>
        <v>Valid</v>
      </c>
      <c r="R66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45352</v>
      </c>
      <c r="S669" s="1" t="str">
        <f>TEXT(digital_banking_transactions3[[#This Row],[Tanggal_Bersih]],"MMMM YYYY")</f>
        <v>March 2024</v>
      </c>
      <c r="T66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6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70" spans="1:21" x14ac:dyDescent="0.35">
      <c r="A670" s="1" t="s">
        <v>2721</v>
      </c>
      <c r="B670" s="1" t="s">
        <v>2722</v>
      </c>
      <c r="C670" s="1" t="s">
        <v>2723</v>
      </c>
      <c r="D670" s="1" t="s">
        <v>25</v>
      </c>
      <c r="E670" s="1" t="s">
        <v>39</v>
      </c>
      <c r="F670" s="1">
        <v>42101278</v>
      </c>
      <c r="G670" s="1" t="s">
        <v>65</v>
      </c>
      <c r="H670" s="1" t="s">
        <v>77</v>
      </c>
      <c r="I670" s="1" t="s">
        <v>21</v>
      </c>
      <c r="J670" s="1" t="s">
        <v>208</v>
      </c>
      <c r="K670">
        <v>7500</v>
      </c>
      <c r="L670">
        <v>305</v>
      </c>
      <c r="M670">
        <v>0</v>
      </c>
      <c r="N67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7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70" s="5">
        <v>42101278</v>
      </c>
      <c r="Q670" t="str">
        <f>IF(OR(digital_banking_transactions3[[#This Row],[Nominal_Bersih]]&lt;0,digital_banking_transactions3[[#This Row],[Nominal_Bersih]]=0),"Invalid","Valid")</f>
        <v>Valid</v>
      </c>
      <c r="R67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45371</v>
      </c>
      <c r="S670" s="1" t="str">
        <f>TEXT(digital_banking_transactions3[[#This Row],[Tanggal_Bersih]],"MMMM YYYY")</f>
        <v>March 2024</v>
      </c>
      <c r="T67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7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71" spans="1:21" x14ac:dyDescent="0.35">
      <c r="A671" s="1" t="s">
        <v>2725</v>
      </c>
      <c r="B671" s="1" t="s">
        <v>2726</v>
      </c>
      <c r="C671" s="1" t="s">
        <v>2727</v>
      </c>
      <c r="D671" s="1" t="s">
        <v>58</v>
      </c>
      <c r="E671" s="1" t="s">
        <v>32</v>
      </c>
      <c r="F671" s="1">
        <v>17710800</v>
      </c>
      <c r="G671" s="1" t="s">
        <v>65</v>
      </c>
      <c r="H671" s="1" t="s">
        <v>106</v>
      </c>
      <c r="I671" s="1" t="s">
        <v>21</v>
      </c>
      <c r="J671" s="1" t="s">
        <v>21</v>
      </c>
      <c r="K671">
        <v>0</v>
      </c>
      <c r="L671">
        <v>4765</v>
      </c>
      <c r="M671">
        <v>0</v>
      </c>
      <c r="N67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7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71" s="5">
        <v>17710800</v>
      </c>
      <c r="Q671" t="str">
        <f>IF(OR(digital_banking_transactions3[[#This Row],[Nominal_Bersih]]&lt;0,digital_banking_transactions3[[#This Row],[Nominal_Bersih]]=0),"Invalid","Valid")</f>
        <v>Valid</v>
      </c>
      <c r="R67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45639</v>
      </c>
      <c r="S671" s="1" t="str">
        <f>TEXT(digital_banking_transactions3[[#This Row],[Tanggal_Bersih]],"MMMM YYYY")</f>
        <v>December 2024</v>
      </c>
      <c r="T67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7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72" spans="1:21" x14ac:dyDescent="0.35">
      <c r="A672" s="1" t="s">
        <v>2729</v>
      </c>
      <c r="B672" s="1" t="s">
        <v>2730</v>
      </c>
      <c r="C672" s="1" t="s">
        <v>2731</v>
      </c>
      <c r="D672" s="1" t="s">
        <v>254</v>
      </c>
      <c r="E672" s="1" t="s">
        <v>39</v>
      </c>
      <c r="F672" s="1" t="s">
        <v>2732</v>
      </c>
      <c r="G672" s="1" t="s">
        <v>41</v>
      </c>
      <c r="H672" s="1" t="s">
        <v>106</v>
      </c>
      <c r="I672" s="1" t="s">
        <v>21</v>
      </c>
      <c r="J672" s="1" t="s">
        <v>21</v>
      </c>
      <c r="K672">
        <v>7500</v>
      </c>
      <c r="L672">
        <v>1467</v>
      </c>
      <c r="M672">
        <v>1</v>
      </c>
      <c r="N67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7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72" s="5" t="s">
        <v>2732</v>
      </c>
      <c r="Q672" t="str">
        <f>IF(OR(digital_banking_transactions3[[#This Row],[Nominal_Bersih]]&lt;0,digital_banking_transactions3[[#This Row],[Nominal_Bersih]]=0),"Invalid","Valid")</f>
        <v>Valid</v>
      </c>
      <c r="R67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45319</v>
      </c>
      <c r="S672" s="1" t="str">
        <f>TEXT(digital_banking_transactions3[[#This Row],[Tanggal_Bersih]],"MMMM YYYY")</f>
        <v>January 2024</v>
      </c>
      <c r="T67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7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73" spans="1:21" x14ac:dyDescent="0.35">
      <c r="A673" s="1" t="s">
        <v>2733</v>
      </c>
      <c r="B673" s="1" t="s">
        <v>2734</v>
      </c>
      <c r="C673" s="1" t="s">
        <v>2735</v>
      </c>
      <c r="D673" s="1" t="s">
        <v>75</v>
      </c>
      <c r="E673" s="1" t="s">
        <v>94</v>
      </c>
      <c r="F673" s="1" t="s">
        <v>2736</v>
      </c>
      <c r="G673" s="1" t="s">
        <v>48</v>
      </c>
      <c r="H673" s="1" t="s">
        <v>106</v>
      </c>
      <c r="I673" s="1" t="s">
        <v>21</v>
      </c>
      <c r="J673" s="1" t="s">
        <v>71</v>
      </c>
      <c r="K673">
        <v>1500</v>
      </c>
      <c r="L673">
        <v>2380</v>
      </c>
      <c r="M673">
        <v>0</v>
      </c>
      <c r="N67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7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73" s="5" t="s">
        <v>2736</v>
      </c>
      <c r="Q673" t="str">
        <f>IF(OR(digital_banking_transactions3[[#This Row],[Nominal_Bersih]]&lt;0,digital_banking_transactions3[[#This Row],[Nominal_Bersih]]=0),"Invalid","Valid")</f>
        <v>Valid</v>
      </c>
      <c r="R67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45643</v>
      </c>
      <c r="S673" s="1" t="str">
        <f>TEXT(digital_banking_transactions3[[#This Row],[Tanggal_Bersih]],"MMMM YYYY")</f>
        <v>December 2024</v>
      </c>
      <c r="T67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7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74" spans="1:21" x14ac:dyDescent="0.35">
      <c r="A674" s="1" t="s">
        <v>2737</v>
      </c>
      <c r="B674" s="1" t="s">
        <v>2738</v>
      </c>
      <c r="C674" s="1" t="s">
        <v>2739</v>
      </c>
      <c r="D674" s="1" t="s">
        <v>75</v>
      </c>
      <c r="E674" s="1" t="s">
        <v>52</v>
      </c>
      <c r="F674" s="1" t="s">
        <v>2740</v>
      </c>
      <c r="G674" s="1" t="s">
        <v>65</v>
      </c>
      <c r="H674" s="1" t="s">
        <v>77</v>
      </c>
      <c r="I674" s="1" t="s">
        <v>291</v>
      </c>
      <c r="J674" s="1" t="s">
        <v>21</v>
      </c>
      <c r="K674">
        <v>6500</v>
      </c>
      <c r="L674">
        <v>2156</v>
      </c>
      <c r="M674">
        <v>0</v>
      </c>
      <c r="N67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7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74" s="5" t="s">
        <v>2740</v>
      </c>
      <c r="Q674" t="str">
        <f>IF(OR(digital_banking_transactions3[[#This Row],[Nominal_Bersih]]&lt;0,digital_banking_transactions3[[#This Row],[Nominal_Bersih]]=0),"Invalid","Valid")</f>
        <v>Valid</v>
      </c>
      <c r="R67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45525</v>
      </c>
      <c r="S674" s="1" t="str">
        <f>TEXT(digital_banking_transactions3[[#This Row],[Tanggal_Bersih]],"MMMM YYYY")</f>
        <v>August 2024</v>
      </c>
      <c r="T67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7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75" spans="1:21" x14ac:dyDescent="0.35">
      <c r="A675" s="1" t="s">
        <v>2741</v>
      </c>
      <c r="B675" s="1" t="s">
        <v>2742</v>
      </c>
      <c r="C675" s="1" t="s">
        <v>2743</v>
      </c>
      <c r="D675" s="1" t="s">
        <v>75</v>
      </c>
      <c r="E675" s="1" t="s">
        <v>17</v>
      </c>
      <c r="F675" s="1">
        <v>23837466</v>
      </c>
      <c r="G675" s="1" t="s">
        <v>264</v>
      </c>
      <c r="H675" s="1" t="s">
        <v>20</v>
      </c>
      <c r="I675" s="1" t="s">
        <v>21</v>
      </c>
      <c r="J675" s="1" t="s">
        <v>79</v>
      </c>
      <c r="K675">
        <v>2500</v>
      </c>
      <c r="L675">
        <v>301</v>
      </c>
      <c r="M675">
        <v>0</v>
      </c>
      <c r="N67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7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75" s="5">
        <v>23837466</v>
      </c>
      <c r="Q675" t="str">
        <f>IF(OR(digital_banking_transactions3[[#This Row],[Nominal_Bersih]]&lt;0,digital_banking_transactions3[[#This Row],[Nominal_Bersih]]=0),"Invalid","Valid")</f>
        <v>Valid</v>
      </c>
      <c r="R67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45582</v>
      </c>
      <c r="S675" s="1" t="str">
        <f>TEXT(digital_banking_transactions3[[#This Row],[Tanggal_Bersih]],"MMMM YYYY")</f>
        <v>October 2024</v>
      </c>
      <c r="T67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7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76" spans="1:21" x14ac:dyDescent="0.35">
      <c r="A676" s="1" t="s">
        <v>2746</v>
      </c>
      <c r="B676" s="1" t="s">
        <v>2747</v>
      </c>
      <c r="C676" s="1" t="s">
        <v>2748</v>
      </c>
      <c r="D676" s="1" t="s">
        <v>75</v>
      </c>
      <c r="E676" s="1" t="s">
        <v>32</v>
      </c>
      <c r="F676" s="1">
        <v>279670200</v>
      </c>
      <c r="G676" s="1" t="s">
        <v>48</v>
      </c>
      <c r="H676" s="1" t="s">
        <v>35</v>
      </c>
      <c r="I676" s="1" t="s">
        <v>21</v>
      </c>
      <c r="J676" s="1" t="s">
        <v>71</v>
      </c>
      <c r="K676">
        <v>0</v>
      </c>
      <c r="L676">
        <v>3795</v>
      </c>
      <c r="M676">
        <v>1</v>
      </c>
      <c r="N67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7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76" s="5">
        <v>279670200</v>
      </c>
      <c r="Q676" t="str">
        <f>IF(OR(digital_banking_transactions3[[#This Row],[Nominal_Bersih]]&lt;0,digital_banking_transactions3[[#This Row],[Nominal_Bersih]]=0),"Invalid","Valid")</f>
        <v>Valid</v>
      </c>
      <c r="R67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45583</v>
      </c>
      <c r="S676" s="1" t="str">
        <f>TEXT(digital_banking_transactions3[[#This Row],[Tanggal_Bersih]],"MMMM YYYY")</f>
        <v>October 2024</v>
      </c>
      <c r="T67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7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77" spans="1:21" x14ac:dyDescent="0.35">
      <c r="A677" s="1" t="s">
        <v>2750</v>
      </c>
      <c r="B677" s="1" t="s">
        <v>2751</v>
      </c>
      <c r="C677" s="1" t="s">
        <v>2752</v>
      </c>
      <c r="D677" s="1" t="s">
        <v>75</v>
      </c>
      <c r="E677" s="1" t="s">
        <v>52</v>
      </c>
      <c r="F677" s="1" t="s">
        <v>2753</v>
      </c>
      <c r="G677" s="1" t="s">
        <v>65</v>
      </c>
      <c r="H677" s="1" t="s">
        <v>54</v>
      </c>
      <c r="I677" s="1" t="s">
        <v>291</v>
      </c>
      <c r="J677" s="1" t="s">
        <v>121</v>
      </c>
      <c r="K677">
        <v>6500</v>
      </c>
      <c r="L677">
        <v>1024</v>
      </c>
      <c r="M677">
        <v>0</v>
      </c>
      <c r="N67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7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77" s="5" t="s">
        <v>2753</v>
      </c>
      <c r="Q677" t="str">
        <f>IF(OR(digital_banking_transactions3[[#This Row],[Nominal_Bersih]]&lt;0,digital_banking_transactions3[[#This Row],[Nominal_Bersih]]=0),"Invalid","Valid")</f>
        <v>Valid</v>
      </c>
      <c r="R67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45452</v>
      </c>
      <c r="S677" s="1" t="str">
        <f>TEXT(digital_banking_transactions3[[#This Row],[Tanggal_Bersih]],"MMMM YYYY")</f>
        <v>June 2024</v>
      </c>
      <c r="T67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7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78" spans="1:21" x14ac:dyDescent="0.35">
      <c r="A678" s="1" t="s">
        <v>2754</v>
      </c>
      <c r="B678" s="1" t="s">
        <v>2755</v>
      </c>
      <c r="C678" s="1" t="s">
        <v>2756</v>
      </c>
      <c r="D678" s="1" t="s">
        <v>75</v>
      </c>
      <c r="E678" s="1" t="s">
        <v>52</v>
      </c>
      <c r="F678" s="1" t="s">
        <v>2757</v>
      </c>
      <c r="G678" s="1" t="s">
        <v>126</v>
      </c>
      <c r="H678" s="1" t="s">
        <v>54</v>
      </c>
      <c r="I678" s="1" t="s">
        <v>112</v>
      </c>
      <c r="J678" s="1" t="s">
        <v>226</v>
      </c>
      <c r="K678">
        <v>6500</v>
      </c>
      <c r="L678">
        <v>3081</v>
      </c>
      <c r="M678">
        <v>0</v>
      </c>
      <c r="N67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7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78" s="5" t="s">
        <v>2757</v>
      </c>
      <c r="Q678" t="str">
        <f>IF(OR(digital_banking_transactions3[[#This Row],[Nominal_Bersih]]&lt;0,digital_banking_transactions3[[#This Row],[Nominal_Bersih]]=0),"Invalid","Valid")</f>
        <v>Valid</v>
      </c>
      <c r="R67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45551</v>
      </c>
      <c r="S678" s="1" t="str">
        <f>TEXT(digital_banking_transactions3[[#This Row],[Tanggal_Bersih]],"MMMM YYYY")</f>
        <v>September 2024</v>
      </c>
      <c r="T67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7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79" spans="1:21" x14ac:dyDescent="0.35">
      <c r="A679" s="1" t="s">
        <v>2758</v>
      </c>
      <c r="B679" s="1" t="s">
        <v>2759</v>
      </c>
      <c r="C679" s="1" t="s">
        <v>2760</v>
      </c>
      <c r="D679" s="1" t="s">
        <v>93</v>
      </c>
      <c r="E679" s="1" t="s">
        <v>17</v>
      </c>
      <c r="F679" s="1">
        <v>2337281400</v>
      </c>
      <c r="G679" s="1" t="s">
        <v>65</v>
      </c>
      <c r="H679" s="1" t="s">
        <v>60</v>
      </c>
      <c r="I679" s="1" t="s">
        <v>21</v>
      </c>
      <c r="J679" s="1" t="s">
        <v>71</v>
      </c>
      <c r="K679">
        <v>2500</v>
      </c>
      <c r="L679">
        <v>1550</v>
      </c>
      <c r="M679">
        <v>0</v>
      </c>
      <c r="N67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7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79" s="5">
        <v>2337281400</v>
      </c>
      <c r="Q679" t="str">
        <f>IF(OR(digital_banking_transactions3[[#This Row],[Nominal_Bersih]]&lt;0,digital_banking_transactions3[[#This Row],[Nominal_Bersih]]=0),"Invalid","Valid")</f>
        <v>Valid</v>
      </c>
      <c r="R67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45629</v>
      </c>
      <c r="S679" s="1" t="str">
        <f>TEXT(digital_banking_transactions3[[#This Row],[Tanggal_Bersih]],"MMMM YYYY")</f>
        <v>December 2024</v>
      </c>
      <c r="T67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7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80" spans="1:21" x14ac:dyDescent="0.35">
      <c r="A680" s="1" t="s">
        <v>2762</v>
      </c>
      <c r="B680" s="1" t="s">
        <v>2763</v>
      </c>
      <c r="C680" s="1" t="s">
        <v>2764</v>
      </c>
      <c r="D680" s="1" t="s">
        <v>75</v>
      </c>
      <c r="E680" s="1" t="s">
        <v>32</v>
      </c>
      <c r="F680" s="4">
        <v>30349540</v>
      </c>
      <c r="G680" s="1" t="s">
        <v>126</v>
      </c>
      <c r="H680" s="1" t="s">
        <v>42</v>
      </c>
      <c r="I680" s="1" t="s">
        <v>21</v>
      </c>
      <c r="J680" s="1" t="s">
        <v>79</v>
      </c>
      <c r="K680">
        <v>0</v>
      </c>
      <c r="L680">
        <v>817</v>
      </c>
      <c r="M680">
        <v>0</v>
      </c>
      <c r="N68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8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80" s="5">
        <v>30349540</v>
      </c>
      <c r="Q680" t="str">
        <f>IF(OR(digital_banking_transactions3[[#This Row],[Nominal_Bersih]]&lt;0,digital_banking_transactions3[[#This Row],[Nominal_Bersih]]=0),"Invalid","Valid")</f>
        <v>Valid</v>
      </c>
      <c r="R68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45582</v>
      </c>
      <c r="S680" s="1" t="str">
        <f>TEXT(digital_banking_transactions3[[#This Row],[Tanggal_Bersih]],"MMMM YYYY")</f>
        <v>October 2024</v>
      </c>
      <c r="T68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8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81" spans="1:21" x14ac:dyDescent="0.35">
      <c r="A681" s="1" t="s">
        <v>2766</v>
      </c>
      <c r="B681" s="1" t="s">
        <v>2767</v>
      </c>
      <c r="C681" s="1" t="s">
        <v>2768</v>
      </c>
      <c r="D681" s="1" t="s">
        <v>16</v>
      </c>
      <c r="E681" s="1" t="s">
        <v>52</v>
      </c>
      <c r="F681" s="1" t="s">
        <v>2769</v>
      </c>
      <c r="G681" s="1" t="s">
        <v>48</v>
      </c>
      <c r="H681" s="1" t="s">
        <v>96</v>
      </c>
      <c r="I681" s="1" t="s">
        <v>291</v>
      </c>
      <c r="J681" s="1" t="s">
        <v>21</v>
      </c>
      <c r="K681">
        <v>6500</v>
      </c>
      <c r="L681">
        <v>2135</v>
      </c>
      <c r="M681">
        <v>0</v>
      </c>
      <c r="N68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8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81" s="5" t="s">
        <v>2769</v>
      </c>
      <c r="Q681" t="str">
        <f>IF(OR(digital_banking_transactions3[[#This Row],[Nominal_Bersih]]&lt;0,digital_banking_transactions3[[#This Row],[Nominal_Bersih]]=0),"Invalid","Valid")</f>
        <v>Valid</v>
      </c>
      <c r="R68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45637</v>
      </c>
      <c r="S681" s="1" t="str">
        <f>TEXT(digital_banking_transactions3[[#This Row],[Tanggal_Bersih]],"MMMM YYYY")</f>
        <v>December 2024</v>
      </c>
      <c r="T68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8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82" spans="1:21" x14ac:dyDescent="0.35">
      <c r="A682" s="1" t="s">
        <v>2770</v>
      </c>
      <c r="B682" s="1" t="s">
        <v>2771</v>
      </c>
      <c r="C682" s="1" t="s">
        <v>2772</v>
      </c>
      <c r="D682" s="1" t="s">
        <v>58</v>
      </c>
      <c r="E682" s="1" t="s">
        <v>52</v>
      </c>
      <c r="F682" s="1" t="s">
        <v>2773</v>
      </c>
      <c r="G682" s="1" t="s">
        <v>126</v>
      </c>
      <c r="H682" s="1" t="s">
        <v>54</v>
      </c>
      <c r="I682" s="1" t="s">
        <v>2165</v>
      </c>
      <c r="J682" s="1" t="s">
        <v>21</v>
      </c>
      <c r="K682">
        <v>6500</v>
      </c>
      <c r="L682">
        <v>81491</v>
      </c>
      <c r="M682">
        <v>0</v>
      </c>
      <c r="N68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8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82" s="5" t="s">
        <v>2773</v>
      </c>
      <c r="Q682" t="str">
        <f>IF(OR(digital_banking_transactions3[[#This Row],[Nominal_Bersih]]&lt;0,digital_banking_transactions3[[#This Row],[Nominal_Bersih]]=0),"Invalid","Valid")</f>
        <v>Valid</v>
      </c>
      <c r="R68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45632</v>
      </c>
      <c r="S682" s="1" t="str">
        <f>TEXT(digital_banking_transactions3[[#This Row],[Tanggal_Bersih]],"MMMM YYYY")</f>
        <v>December 2024</v>
      </c>
      <c r="T68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8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683" spans="1:21" x14ac:dyDescent="0.35">
      <c r="A683" s="1" t="s">
        <v>2774</v>
      </c>
      <c r="B683" s="1" t="s">
        <v>2775</v>
      </c>
      <c r="C683" s="1" t="s">
        <v>2776</v>
      </c>
      <c r="D683" s="1" t="s">
        <v>58</v>
      </c>
      <c r="E683" s="1" t="s">
        <v>32</v>
      </c>
      <c r="F683" s="1" t="s">
        <v>2777</v>
      </c>
      <c r="G683" s="1" t="s">
        <v>48</v>
      </c>
      <c r="H683" s="1" t="s">
        <v>42</v>
      </c>
      <c r="I683" s="1" t="s">
        <v>21</v>
      </c>
      <c r="J683" s="1" t="s">
        <v>21</v>
      </c>
      <c r="K683">
        <v>0</v>
      </c>
      <c r="L683">
        <v>3367</v>
      </c>
      <c r="M683">
        <v>0</v>
      </c>
      <c r="N68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8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83" s="5" t="s">
        <v>2777</v>
      </c>
      <c r="Q683" t="str">
        <f>IF(OR(digital_banking_transactions3[[#This Row],[Nominal_Bersih]]&lt;0,digital_banking_transactions3[[#This Row],[Nominal_Bersih]]=0),"Invalid","Valid")</f>
        <v>Valid</v>
      </c>
      <c r="R68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45314</v>
      </c>
      <c r="S683" s="1" t="str">
        <f>TEXT(digital_banking_transactions3[[#This Row],[Tanggal_Bersih]],"MMMM YYYY")</f>
        <v>January 2024</v>
      </c>
      <c r="T68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8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84" spans="1:21" x14ac:dyDescent="0.35">
      <c r="A684" s="1" t="s">
        <v>2778</v>
      </c>
      <c r="B684" s="1" t="s">
        <v>2557</v>
      </c>
      <c r="C684" s="1" t="s">
        <v>2779</v>
      </c>
      <c r="D684" s="1" t="s">
        <v>31</v>
      </c>
      <c r="E684" s="1" t="s">
        <v>39</v>
      </c>
      <c r="F684" s="1">
        <v>16395800</v>
      </c>
      <c r="G684" s="1" t="s">
        <v>34</v>
      </c>
      <c r="H684" s="1" t="s">
        <v>106</v>
      </c>
      <c r="I684" s="1" t="s">
        <v>21</v>
      </c>
      <c r="J684" s="1" t="s">
        <v>21</v>
      </c>
      <c r="K684">
        <v>7500</v>
      </c>
      <c r="L684">
        <v>1082</v>
      </c>
      <c r="M684">
        <v>0</v>
      </c>
      <c r="N68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8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84" s="5">
        <v>16395800</v>
      </c>
      <c r="Q684" t="str">
        <f>IF(OR(digital_banking_transactions3[[#This Row],[Nominal_Bersih]]&lt;0,digital_banking_transactions3[[#This Row],[Nominal_Bersih]]=0),"Invalid","Valid")</f>
        <v>Valid</v>
      </c>
      <c r="R68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45375</v>
      </c>
      <c r="S684" s="1" t="str">
        <f>TEXT(digital_banking_transactions3[[#This Row],[Tanggal_Bersih]],"MMMM YYYY")</f>
        <v>March 2024</v>
      </c>
      <c r="T68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8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85" spans="1:21" x14ac:dyDescent="0.35">
      <c r="A685" s="1" t="s">
        <v>2781</v>
      </c>
      <c r="B685" s="1" t="s">
        <v>2722</v>
      </c>
      <c r="C685" s="1" t="s">
        <v>2782</v>
      </c>
      <c r="D685" s="1" t="s">
        <v>58</v>
      </c>
      <c r="E685" s="1" t="s">
        <v>94</v>
      </c>
      <c r="F685" s="1">
        <v>7101700</v>
      </c>
      <c r="G685" s="1" t="s">
        <v>126</v>
      </c>
      <c r="H685" s="1" t="s">
        <v>42</v>
      </c>
      <c r="I685" s="1" t="s">
        <v>21</v>
      </c>
      <c r="J685" s="1" t="s">
        <v>21</v>
      </c>
      <c r="K685">
        <v>1500</v>
      </c>
      <c r="L685">
        <v>1009</v>
      </c>
      <c r="M685">
        <v>0</v>
      </c>
      <c r="N68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8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85" s="5">
        <v>7101700</v>
      </c>
      <c r="Q685" t="str">
        <f>IF(OR(digital_banking_transactions3[[#This Row],[Nominal_Bersih]]&lt;0,digital_banking_transactions3[[#This Row],[Nominal_Bersih]]=0),"Invalid","Valid")</f>
        <v>Valid</v>
      </c>
      <c r="R68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45371</v>
      </c>
      <c r="S685" s="1" t="str">
        <f>TEXT(digital_banking_transactions3[[#This Row],[Tanggal_Bersih]],"MMMM YYYY")</f>
        <v>March 2024</v>
      </c>
      <c r="T68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8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86" spans="1:21" x14ac:dyDescent="0.35">
      <c r="A686" s="1" t="s">
        <v>2784</v>
      </c>
      <c r="B686" s="1" t="s">
        <v>2785</v>
      </c>
      <c r="C686" s="1" t="s">
        <v>2786</v>
      </c>
      <c r="D686" s="1" t="s">
        <v>546</v>
      </c>
      <c r="E686" s="1" t="s">
        <v>94</v>
      </c>
      <c r="F686" s="1" t="s">
        <v>2787</v>
      </c>
      <c r="G686" s="1" t="s">
        <v>41</v>
      </c>
      <c r="H686" s="1" t="s">
        <v>54</v>
      </c>
      <c r="I686" s="1" t="s">
        <v>21</v>
      </c>
      <c r="J686" s="1" t="s">
        <v>121</v>
      </c>
      <c r="K686">
        <v>1500</v>
      </c>
      <c r="L686">
        <v>4487</v>
      </c>
      <c r="M686">
        <v>1</v>
      </c>
      <c r="N68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8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86" s="5" t="s">
        <v>2787</v>
      </c>
      <c r="Q686" t="str">
        <f>IF(OR(digital_banking_transactions3[[#This Row],[Nominal_Bersih]]&lt;0,digital_banking_transactions3[[#This Row],[Nominal_Bersih]]=0),"Invalid","Valid")</f>
        <v>Valid</v>
      </c>
      <c r="R68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45442</v>
      </c>
      <c r="S686" s="1" t="str">
        <f>TEXT(digital_banking_transactions3[[#This Row],[Tanggal_Bersih]],"MMMM YYYY")</f>
        <v>May 2024</v>
      </c>
      <c r="T68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8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87" spans="1:21" x14ac:dyDescent="0.35">
      <c r="A687" s="1" t="s">
        <v>2788</v>
      </c>
      <c r="B687" s="1" t="s">
        <v>2789</v>
      </c>
      <c r="C687" s="1" t="s">
        <v>2790</v>
      </c>
      <c r="D687" s="1" t="s">
        <v>150</v>
      </c>
      <c r="E687" s="1" t="s">
        <v>52</v>
      </c>
      <c r="F687" s="4">
        <v>199443</v>
      </c>
      <c r="G687" s="1" t="s">
        <v>41</v>
      </c>
      <c r="H687" s="1" t="s">
        <v>54</v>
      </c>
      <c r="I687" s="1" t="s">
        <v>78</v>
      </c>
      <c r="J687" s="1" t="s">
        <v>286</v>
      </c>
      <c r="K687">
        <v>6500</v>
      </c>
      <c r="L687">
        <v>3720</v>
      </c>
      <c r="M687">
        <v>0</v>
      </c>
      <c r="N68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8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87" s="5">
        <v>199443</v>
      </c>
      <c r="Q687" t="str">
        <f>IF(OR(digital_banking_transactions3[[#This Row],[Nominal_Bersih]]&lt;0,digital_banking_transactions3[[#This Row],[Nominal_Bersih]]=0),"Invalid","Valid")</f>
        <v>Valid</v>
      </c>
      <c r="R68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45347</v>
      </c>
      <c r="S687" s="1" t="str">
        <f>TEXT(digital_banking_transactions3[[#This Row],[Tanggal_Bersih]],"MMMM YYYY")</f>
        <v>February 2024</v>
      </c>
      <c r="T68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8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88" spans="1:21" x14ac:dyDescent="0.35">
      <c r="A688" s="1" t="s">
        <v>2792</v>
      </c>
      <c r="B688" s="1" t="s">
        <v>2793</v>
      </c>
      <c r="C688" s="1" t="s">
        <v>2794</v>
      </c>
      <c r="D688" s="1" t="s">
        <v>110</v>
      </c>
      <c r="E688" s="1" t="s">
        <v>39</v>
      </c>
      <c r="F688" s="1" t="s">
        <v>2795</v>
      </c>
      <c r="G688" s="1" t="s">
        <v>41</v>
      </c>
      <c r="H688" s="1" t="s">
        <v>60</v>
      </c>
      <c r="I688" s="1" t="s">
        <v>21</v>
      </c>
      <c r="J688" s="1" t="s">
        <v>21</v>
      </c>
      <c r="K688">
        <v>7500</v>
      </c>
      <c r="L688">
        <v>4371</v>
      </c>
      <c r="M688">
        <v>0</v>
      </c>
      <c r="N68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8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88" s="5" t="s">
        <v>2795</v>
      </c>
      <c r="Q688" t="str">
        <f>IF(OR(digital_banking_transactions3[[#This Row],[Nominal_Bersih]]&lt;0,digital_banking_transactions3[[#This Row],[Nominal_Bersih]]=0),"Invalid","Valid")</f>
        <v>Valid</v>
      </c>
      <c r="R68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45566</v>
      </c>
      <c r="S688" s="1" t="str">
        <f>TEXT(digital_banking_transactions3[[#This Row],[Tanggal_Bersih]],"MMMM YYYY")</f>
        <v>October 2024</v>
      </c>
      <c r="T68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Q4</v>
      </c>
      <c r="U68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89" spans="1:21" x14ac:dyDescent="0.35">
      <c r="A689" s="1" t="s">
        <v>2796</v>
      </c>
      <c r="B689" s="1" t="s">
        <v>2797</v>
      </c>
      <c r="C689" s="1" t="s">
        <v>2798</v>
      </c>
      <c r="D689" s="1" t="s">
        <v>31</v>
      </c>
      <c r="E689" s="1" t="s">
        <v>32</v>
      </c>
      <c r="F689" s="1">
        <v>36535252</v>
      </c>
      <c r="G689" s="1" t="s">
        <v>126</v>
      </c>
      <c r="H689" s="1" t="s">
        <v>77</v>
      </c>
      <c r="I689" s="1" t="s">
        <v>21</v>
      </c>
      <c r="J689" s="1" t="s">
        <v>21</v>
      </c>
      <c r="K689">
        <v>0</v>
      </c>
      <c r="L689">
        <v>2397</v>
      </c>
      <c r="M689">
        <v>0</v>
      </c>
      <c r="N68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8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89" s="5">
        <v>36535252</v>
      </c>
      <c r="Q689" t="str">
        <f>IF(OR(digital_banking_transactions3[[#This Row],[Nominal_Bersih]]&lt;0,digital_banking_transactions3[[#This Row],[Nominal_Bersih]]=0),"Invalid","Valid")</f>
        <v>Valid</v>
      </c>
      <c r="R68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45434</v>
      </c>
      <c r="S689" s="1" t="str">
        <f>TEXT(digital_banking_transactions3[[#This Row],[Tanggal_Bersih]],"MMMM YYYY")</f>
        <v>May 2024</v>
      </c>
      <c r="T68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8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90" spans="1:21" x14ac:dyDescent="0.35">
      <c r="A690" s="1" t="s">
        <v>2800</v>
      </c>
      <c r="B690" s="1" t="s">
        <v>2801</v>
      </c>
      <c r="C690" s="1" t="s">
        <v>2802</v>
      </c>
      <c r="D690" s="1" t="s">
        <v>58</v>
      </c>
      <c r="E690" s="1" t="s">
        <v>52</v>
      </c>
      <c r="F690" s="1" t="s">
        <v>2803</v>
      </c>
      <c r="G690" s="1" t="s">
        <v>381</v>
      </c>
      <c r="H690" s="1" t="s">
        <v>20</v>
      </c>
      <c r="I690" s="1" t="s">
        <v>291</v>
      </c>
      <c r="J690" s="1" t="s">
        <v>21</v>
      </c>
      <c r="K690">
        <v>6500</v>
      </c>
      <c r="L690">
        <v>1412</v>
      </c>
      <c r="M690">
        <v>0</v>
      </c>
      <c r="N690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90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EDC</v>
      </c>
      <c r="P690" s="5" t="s">
        <v>2803</v>
      </c>
      <c r="Q690" t="str">
        <f>IF(OR(digital_banking_transactions3[[#This Row],[Nominal_Bersih]]&lt;0,digital_banking_transactions3[[#This Row],[Nominal_Bersih]]=0),"Invalid","Valid")</f>
        <v>Valid</v>
      </c>
      <c r="R690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45376</v>
      </c>
      <c r="S690" s="1" t="str">
        <f>TEXT(digital_banking_transactions3[[#This Row],[Tanggal_Bersih]],"MMMM YYYY")</f>
        <v>March 2024</v>
      </c>
      <c r="T690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90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91" spans="1:21" x14ac:dyDescent="0.35">
      <c r="A691" s="1" t="s">
        <v>2804</v>
      </c>
      <c r="B691" s="1" t="s">
        <v>2805</v>
      </c>
      <c r="C691" s="1" t="s">
        <v>2806</v>
      </c>
      <c r="D691" s="1" t="s">
        <v>75</v>
      </c>
      <c r="E691" s="1" t="s">
        <v>32</v>
      </c>
      <c r="F691" s="1" t="s">
        <v>2807</v>
      </c>
      <c r="G691" s="1" t="s">
        <v>34</v>
      </c>
      <c r="H691" s="1" t="s">
        <v>20</v>
      </c>
      <c r="I691" s="1" t="s">
        <v>21</v>
      </c>
      <c r="J691" s="1" t="s">
        <v>226</v>
      </c>
      <c r="K691">
        <v>0</v>
      </c>
      <c r="L691">
        <v>4064</v>
      </c>
      <c r="M691">
        <v>0</v>
      </c>
      <c r="N691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91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91" s="5" t="s">
        <v>2807</v>
      </c>
      <c r="Q691" t="str">
        <f>IF(OR(digital_banking_transactions3[[#This Row],[Nominal_Bersih]]&lt;0,digital_banking_transactions3[[#This Row],[Nominal_Bersih]]=0),"Invalid","Valid")</f>
        <v>Valid</v>
      </c>
      <c r="R691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45435</v>
      </c>
      <c r="S691" s="1" t="str">
        <f>TEXT(digital_banking_transactions3[[#This Row],[Tanggal_Bersih]],"MMMM YYYY")</f>
        <v>May 2024</v>
      </c>
      <c r="T691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91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92" spans="1:21" x14ac:dyDescent="0.35">
      <c r="A692" s="1" t="s">
        <v>2808</v>
      </c>
      <c r="B692" s="1" t="s">
        <v>2809</v>
      </c>
      <c r="C692" s="1" t="s">
        <v>2810</v>
      </c>
      <c r="D692" s="1" t="s">
        <v>25</v>
      </c>
      <c r="E692" s="1" t="s">
        <v>94</v>
      </c>
      <c r="F692" s="1">
        <v>2812030</v>
      </c>
      <c r="G692" s="1" t="s">
        <v>19</v>
      </c>
      <c r="H692" s="1" t="s">
        <v>77</v>
      </c>
      <c r="I692" s="1" t="s">
        <v>21</v>
      </c>
      <c r="J692" s="1" t="s">
        <v>121</v>
      </c>
      <c r="K692">
        <v>1500</v>
      </c>
      <c r="L692">
        <v>2392</v>
      </c>
      <c r="M692">
        <v>1</v>
      </c>
      <c r="N692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92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92" s="5">
        <v>2812030</v>
      </c>
      <c r="Q692" t="str">
        <f>IF(OR(digital_banking_transactions3[[#This Row],[Nominal_Bersih]]&lt;0,digital_banking_transactions3[[#This Row],[Nominal_Bersih]]=0),"Invalid","Valid")</f>
        <v>Valid</v>
      </c>
      <c r="R692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45563</v>
      </c>
      <c r="S692" s="1" t="str">
        <f>TEXT(digital_banking_transactions3[[#This Row],[Tanggal_Bersih]],"MMMM YYYY")</f>
        <v>September 2024</v>
      </c>
      <c r="T692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92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93" spans="1:21" x14ac:dyDescent="0.35">
      <c r="A693" s="1" t="s">
        <v>2812</v>
      </c>
      <c r="B693" s="1" t="s">
        <v>2813</v>
      </c>
      <c r="C693" s="1" t="s">
        <v>2814</v>
      </c>
      <c r="D693" s="1" t="s">
        <v>16</v>
      </c>
      <c r="E693" s="1" t="s">
        <v>94</v>
      </c>
      <c r="F693" s="1" t="s">
        <v>2815</v>
      </c>
      <c r="G693" s="1" t="s">
        <v>65</v>
      </c>
      <c r="H693" s="1" t="s">
        <v>54</v>
      </c>
      <c r="I693" s="1" t="s">
        <v>21</v>
      </c>
      <c r="J693" s="1" t="s">
        <v>21</v>
      </c>
      <c r="K693">
        <v>1500</v>
      </c>
      <c r="L693">
        <v>3082</v>
      </c>
      <c r="M693">
        <v>0</v>
      </c>
      <c r="N693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Gagal</v>
      </c>
      <c r="O693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93" s="5" t="s">
        <v>2815</v>
      </c>
      <c r="Q693" t="str">
        <f>IF(OR(digital_banking_transactions3[[#This Row],[Nominal_Bersih]]&lt;0,digital_banking_transactions3[[#This Row],[Nominal_Bersih]]=0),"Invalid","Valid")</f>
        <v>Valid</v>
      </c>
      <c r="R693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45412</v>
      </c>
      <c r="S693" s="1" t="str">
        <f>TEXT(digital_banking_transactions3[[#This Row],[Tanggal_Bersih]],"MMMM YYYY")</f>
        <v>April 2024</v>
      </c>
      <c r="T693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Q2</v>
      </c>
      <c r="U693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94" spans="1:21" x14ac:dyDescent="0.35">
      <c r="A694" s="1" t="s">
        <v>2816</v>
      </c>
      <c r="B694" s="1" t="s">
        <v>474</v>
      </c>
      <c r="C694" s="1" t="s">
        <v>2817</v>
      </c>
      <c r="D694" s="1" t="s">
        <v>25</v>
      </c>
      <c r="E694" s="1" t="s">
        <v>32</v>
      </c>
      <c r="F694" s="4">
        <v>3929055</v>
      </c>
      <c r="G694" s="1" t="s">
        <v>126</v>
      </c>
      <c r="H694" s="1" t="s">
        <v>54</v>
      </c>
      <c r="I694" s="1" t="s">
        <v>21</v>
      </c>
      <c r="J694" s="1" t="s">
        <v>121</v>
      </c>
      <c r="K694">
        <v>0</v>
      </c>
      <c r="L694">
        <v>1635</v>
      </c>
      <c r="M694">
        <v>0</v>
      </c>
      <c r="N694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94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94" s="5">
        <v>3929055</v>
      </c>
      <c r="Q694" t="str">
        <f>IF(OR(digital_banking_transactions3[[#This Row],[Nominal_Bersih]]&lt;0,digital_banking_transactions3[[#This Row],[Nominal_Bersih]]=0),"Invalid","Valid")</f>
        <v>Valid</v>
      </c>
      <c r="R694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45306</v>
      </c>
      <c r="S694" s="1" t="str">
        <f>TEXT(digital_banking_transactions3[[#This Row],[Tanggal_Bersih]],"MMMM YYYY")</f>
        <v>January 2024</v>
      </c>
      <c r="T694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94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95" spans="1:21" x14ac:dyDescent="0.35">
      <c r="A695" s="1" t="s">
        <v>2819</v>
      </c>
      <c r="B695" s="1" t="s">
        <v>2820</v>
      </c>
      <c r="C695" s="1" t="s">
        <v>2821</v>
      </c>
      <c r="D695" s="1" t="s">
        <v>25</v>
      </c>
      <c r="E695" s="1" t="s">
        <v>94</v>
      </c>
      <c r="F695" s="1">
        <v>13133839</v>
      </c>
      <c r="G695" s="1" t="s">
        <v>485</v>
      </c>
      <c r="H695" s="1" t="s">
        <v>60</v>
      </c>
      <c r="I695" s="1" t="s">
        <v>21</v>
      </c>
      <c r="J695" s="1" t="s">
        <v>208</v>
      </c>
      <c r="K695">
        <v>1500</v>
      </c>
      <c r="L695">
        <v>1646</v>
      </c>
      <c r="M695">
        <v>0</v>
      </c>
      <c r="N695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95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95" s="5">
        <v>13133839</v>
      </c>
      <c r="Q695" t="str">
        <f>IF(OR(digital_banking_transactions3[[#This Row],[Nominal_Bersih]]&lt;0,digital_banking_transactions3[[#This Row],[Nominal_Bersih]]=0),"Invalid","Valid")</f>
        <v>Valid</v>
      </c>
      <c r="R695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45515</v>
      </c>
      <c r="S695" s="1" t="str">
        <f>TEXT(digital_banking_transactions3[[#This Row],[Tanggal_Bersih]],"MMMM YYYY")</f>
        <v>August 2024</v>
      </c>
      <c r="T695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95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96" spans="1:21" x14ac:dyDescent="0.35">
      <c r="A696" s="1" t="s">
        <v>2824</v>
      </c>
      <c r="B696" s="1" t="s">
        <v>2825</v>
      </c>
      <c r="C696" s="1" t="s">
        <v>2826</v>
      </c>
      <c r="D696" s="1" t="s">
        <v>16</v>
      </c>
      <c r="E696" s="1" t="s">
        <v>94</v>
      </c>
      <c r="F696" s="4">
        <v>3687396</v>
      </c>
      <c r="G696" s="1" t="s">
        <v>105</v>
      </c>
      <c r="H696" s="1" t="s">
        <v>60</v>
      </c>
      <c r="I696" s="1" t="s">
        <v>21</v>
      </c>
      <c r="J696" s="1" t="s">
        <v>21</v>
      </c>
      <c r="K696">
        <v>1500</v>
      </c>
      <c r="L696">
        <v>4044</v>
      </c>
      <c r="M696">
        <v>0</v>
      </c>
      <c r="N696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96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ATM</v>
      </c>
      <c r="P696" s="5">
        <v>3687396</v>
      </c>
      <c r="Q696" t="str">
        <f>IF(OR(digital_banking_transactions3[[#This Row],[Nominal_Bersih]]&lt;0,digital_banking_transactions3[[#This Row],[Nominal_Bersih]]=0),"Invalid","Valid")</f>
        <v>Valid</v>
      </c>
      <c r="R696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45534</v>
      </c>
      <c r="S696" s="1" t="str">
        <f>TEXT(digital_banking_transactions3[[#This Row],[Tanggal_Bersih]],"MMMM YYYY")</f>
        <v>August 2024</v>
      </c>
      <c r="T696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96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97" spans="1:21" x14ac:dyDescent="0.35">
      <c r="A697" s="1" t="s">
        <v>2828</v>
      </c>
      <c r="B697" s="1" t="s">
        <v>2829</v>
      </c>
      <c r="C697" s="1" t="s">
        <v>2830</v>
      </c>
      <c r="D697" s="1" t="s">
        <v>75</v>
      </c>
      <c r="E697" s="1" t="s">
        <v>17</v>
      </c>
      <c r="F697" s="1" t="s">
        <v>2831</v>
      </c>
      <c r="G697" s="1" t="s">
        <v>137</v>
      </c>
      <c r="H697" s="1" t="s">
        <v>106</v>
      </c>
      <c r="I697" s="1" t="s">
        <v>21</v>
      </c>
      <c r="J697" s="1" t="s">
        <v>71</v>
      </c>
      <c r="K697">
        <v>2500</v>
      </c>
      <c r="L697">
        <v>53078</v>
      </c>
      <c r="M697">
        <v>0</v>
      </c>
      <c r="N697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Sukses</v>
      </c>
      <c r="O697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Internet Banking</v>
      </c>
      <c r="P697" s="5" t="s">
        <v>2831</v>
      </c>
      <c r="Q697" t="str">
        <f>IF(OR(digital_banking_transactions3[[#This Row],[Nominal_Bersih]]&lt;0,digital_banking_transactions3[[#This Row],[Nominal_Bersih]]=0),"Invalid","Valid")</f>
        <v>Valid</v>
      </c>
      <c r="R697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45549</v>
      </c>
      <c r="S697" s="1" t="str">
        <f>TEXT(digital_banking_transactions3[[#This Row],[Tanggal_Bersih]],"MMMM YYYY")</f>
        <v>September 2024</v>
      </c>
      <c r="T697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97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Lambat Kritis</v>
      </c>
    </row>
    <row r="698" spans="1:21" x14ac:dyDescent="0.35">
      <c r="A698" s="1" t="s">
        <v>2832</v>
      </c>
      <c r="B698" s="1" t="s">
        <v>2833</v>
      </c>
      <c r="C698" s="1" t="s">
        <v>2834</v>
      </c>
      <c r="D698" s="1" t="s">
        <v>25</v>
      </c>
      <c r="E698" s="1" t="s">
        <v>39</v>
      </c>
      <c r="F698" s="1">
        <v>900968</v>
      </c>
      <c r="G698" s="1" t="s">
        <v>48</v>
      </c>
      <c r="H698" s="1" t="s">
        <v>42</v>
      </c>
      <c r="I698" s="1" t="s">
        <v>21</v>
      </c>
      <c r="J698" s="1" t="s">
        <v>79</v>
      </c>
      <c r="K698">
        <v>7500</v>
      </c>
      <c r="L698">
        <v>3081</v>
      </c>
      <c r="M698">
        <v>0</v>
      </c>
      <c r="N698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98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98" s="5">
        <v>900968</v>
      </c>
      <c r="Q698" t="str">
        <f>IF(OR(digital_banking_transactions3[[#This Row],[Nominal_Bersih]]&lt;0,digital_banking_transactions3[[#This Row],[Nominal_Bersih]]=0),"Invalid","Valid")</f>
        <v>Valid</v>
      </c>
      <c r="R698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45525</v>
      </c>
      <c r="S698" s="1" t="str">
        <f>TEXT(digital_banking_transactions3[[#This Row],[Tanggal_Bersih]],"MMMM YYYY")</f>
        <v>August 2024</v>
      </c>
      <c r="T698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Q3</v>
      </c>
      <c r="U698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  <row r="699" spans="1:21" x14ac:dyDescent="0.35">
      <c r="A699" s="1" t="s">
        <v>2836</v>
      </c>
      <c r="B699" s="1" t="s">
        <v>866</v>
      </c>
      <c r="C699" s="1" t="s">
        <v>2837</v>
      </c>
      <c r="D699" s="1" t="s">
        <v>254</v>
      </c>
      <c r="E699" s="1" t="s">
        <v>52</v>
      </c>
      <c r="F699" s="1" t="s">
        <v>2838</v>
      </c>
      <c r="G699" s="1" t="s">
        <v>105</v>
      </c>
      <c r="H699" s="1" t="s">
        <v>96</v>
      </c>
      <c r="I699" s="1" t="s">
        <v>66</v>
      </c>
      <c r="J699" s="1" t="s">
        <v>21</v>
      </c>
      <c r="K699">
        <v>6500</v>
      </c>
      <c r="L699">
        <v>3297</v>
      </c>
      <c r="M699">
        <v>0</v>
      </c>
      <c r="N699" t="str">
        <f>IF(OR(LOWER(digital_banking_transactions3[[#This Row],[Status]])="sukses",LOWER(digital_banking_transactions3[[#This Row],[Status]])="success",LOWER(digital_banking_transactions3[[#This Row],[Status]])="berhasil"),"Sukses",IF(OR(LOWER(digital_banking_transactions3[[#This Row],[Status]])="gagal",LOWER(digital_banking_transactions3[[#This Row],[Status]])="failed",LOWER(digital_banking_transactions3[[#This Row],[Status]])="error"),"Gagal",IF(OR(LOWER(digital_banking_transactions3[[#This Row],[Status]])="pending",LOWER(digital_banking_transactions3[[#This Row],[Status]])="menunggu"),"Pending","Unknown")))</f>
        <v>Pending</v>
      </c>
      <c r="O699" t="str">
        <f>IF(OR(LOWER(digital_banking_transactions3[[#This Row],[Channel]])="mobile banking",LOWER(digital_banking_transactions3[[#This Row],[Channel]])="mobilebanking",LOWER(digital_banking_transactions3[[#This Row],[Channel]])="mb"), "Mobile Banking",IF(OR(LOWER(digital_banking_transactions3[[#This Row],[Channel]])="internet banking",LOWER(digital_banking_transactions3[[#This Row],[Channel]])="internetbanking",LOWER(digital_banking_transactions3[[#This Row],[Channel]])="ib"),"Internet Banking",IF(LOWER(digital_banking_transactions3[[#This Row],[Channel]])="edc","EDC",IF(LOWER(digital_banking_transactions3[[#This Row],[Channel]])="atm","ATM","Lainnya"))))</f>
        <v>Mobile Banking</v>
      </c>
      <c r="P699" s="5" t="s">
        <v>2838</v>
      </c>
      <c r="Q699" t="str">
        <f>IF(OR(digital_banking_transactions3[[#This Row],[Nominal_Bersih]]&lt;0,digital_banking_transactions3[[#This Row],[Nominal_Bersih]]=0),"Invalid","Valid")</f>
        <v>Valid</v>
      </c>
      <c r="R699" s="8">
        <f>IF(ISNUMBER(digital_banking_transactions3[[#This Row],[Tanggal_Waktu]]),digital_banking_transactions3[[#This Row],[Tanggal_Waktu]],
 IF(OR(MID(digital_banking_transactions3[[#This Row],[Tanggal_Waktu]],5,1)="/",MID(digital_banking_transactions3[[#This Row],[Tanggal_Waktu]],5,1)="-"),
   DATE(LEFT(digital_banking_transactions3[[#This Row],[Tanggal_Waktu]],4),MID(digital_banking_transactions3[[#This Row],[Tanggal_Waktu]],6,2),MID(digital_banking_transactions3[[#This Row],[Tanggal_Waktu]],9,2)),
 IF(MID(digital_banking_transactions3[[#This Row],[Tanggal_Waktu]],3,1)=" ",
   DATE(RIGHT(digital_banking_transactions3[[#This Row],[Tanggal_Waktu]],4),(SEARCH(MID(digital_banking_transactions3[[#This Row],[Tanggal_Waktu]],4,3),"JanFebMarAprMayJunJulAugSepOctNovDec")+2)/3,LEFT(digital_banking_transactions3[[#This Row],[Tanggal_Waktu]],2)),
   DATE(MID(digital_banking_transactions3[[#This Row],[Tanggal_Waktu]],7,4),MID(digital_banking_transactions3[[#This Row],[Tanggal_Waktu]],4,2),LEFT(digital_banking_transactions3[[#This Row],[Tanggal_Waktu]],2)))))</f>
        <v>45300</v>
      </c>
      <c r="S699" s="1" t="str">
        <f>TEXT(digital_banking_transactions3[[#This Row],[Tanggal_Bersih]],"MMMM YYYY")</f>
        <v>January 2024</v>
      </c>
      <c r="T699" s="1" t="str">
        <f>IF(MONTH(digital_banking_transactions3[[#This Row],[Tanggal_Bersih]])&lt;=3,"Q1",IF(MONTH(digital_banking_transactions3[[#This Row],[Tanggal_Bersih]])&lt;=6,"Q2",IF(MONTH(digital_banking_transactions3[[#This Row],[Tanggal_Bersih]])&lt;=9,"Q3","Q4")))</f>
        <v>Q1</v>
      </c>
      <c r="U699" s="1" t="str">
        <f>IF(digital_banking_transactions3[[#This Row],[Response_Time_ms]]="","Missing",IF(digital_banking_transactions3[[#This Row],[Response_Time_ms]]&gt;30000,"Lambat Kritis",IF(digital_banking_transactions3[[#This Row],[Response_Time_ms]]&gt;10000,"Lambat",IF(digital_banking_transactions3[[#This Row],[Response_Time_ms]]&gt;5000,"Perlu Perhatian","Normal"))))</f>
        <v>Normal</v>
      </c>
    </row>
  </sheetData>
  <phoneticPr fontId="4" type="noConversion"/>
  <conditionalFormatting sqref="U1:U1048576">
    <cfRule type="cellIs" dxfId="0" priority="2" operator="equal">
      <formula>"Missing"</formula>
    </cfRule>
    <cfRule type="cellIs" dxfId="1" priority="1" operator="equal">
      <formula>"Lambat Kritis"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6B03-881C-4636-8E84-C9DB06FED4AE}">
  <dimension ref="A1:V15"/>
  <sheetViews>
    <sheetView tabSelected="1" topLeftCell="C1" workbookViewId="0">
      <selection activeCell="M12" sqref="M12"/>
    </sheetView>
  </sheetViews>
  <sheetFormatPr defaultRowHeight="14.5" x14ac:dyDescent="0.35"/>
  <cols>
    <col min="1" max="1" width="17.54296875" bestFit="1" customWidth="1"/>
    <col min="2" max="2" width="6.7265625" bestFit="1" customWidth="1"/>
    <col min="3" max="3" width="27" bestFit="1" customWidth="1"/>
    <col min="7" max="7" width="8.7265625" customWidth="1"/>
    <col min="8" max="8" width="9.6328125" bestFit="1" customWidth="1"/>
    <col min="9" max="9" width="7.81640625" bestFit="1" customWidth="1"/>
    <col min="10" max="10" width="11.26953125" customWidth="1"/>
    <col min="14" max="14" width="13.81640625" customWidth="1"/>
    <col min="18" max="18" width="24.26953125" bestFit="1" customWidth="1"/>
    <col min="22" max="22" width="11.81640625" customWidth="1"/>
  </cols>
  <sheetData>
    <row r="1" spans="1:22" ht="18.5" x14ac:dyDescent="0.45">
      <c r="A1" s="9" t="s">
        <v>2839</v>
      </c>
      <c r="B1" s="9"/>
      <c r="C1" s="9"/>
      <c r="E1" s="9" t="s">
        <v>2849</v>
      </c>
      <c r="F1" s="9"/>
      <c r="H1" s="11" t="s">
        <v>2851</v>
      </c>
      <c r="I1" s="11"/>
      <c r="J1" s="11"/>
      <c r="L1" s="12" t="s">
        <v>2855</v>
      </c>
      <c r="M1" s="12"/>
      <c r="N1" s="12"/>
      <c r="P1" s="9" t="s">
        <v>2857</v>
      </c>
      <c r="Q1" s="9"/>
      <c r="R1" s="9"/>
      <c r="T1" s="13" t="s">
        <v>2869</v>
      </c>
      <c r="U1" s="13"/>
      <c r="V1" s="13"/>
    </row>
    <row r="2" spans="1:22" x14ac:dyDescent="0.35">
      <c r="A2" s="16" t="s">
        <v>2840</v>
      </c>
      <c r="B2" s="16" t="s">
        <v>2841</v>
      </c>
      <c r="C2" s="16" t="s">
        <v>2842</v>
      </c>
      <c r="E2" s="10" t="s">
        <v>2850</v>
      </c>
      <c r="F2" s="10"/>
      <c r="H2" s="19" t="s">
        <v>2852</v>
      </c>
      <c r="I2" s="19" t="s">
        <v>2853</v>
      </c>
      <c r="L2" s="15" t="s">
        <v>2853</v>
      </c>
      <c r="M2" s="2"/>
      <c r="P2" s="16" t="s">
        <v>2852</v>
      </c>
      <c r="Q2" s="16" t="s">
        <v>2853</v>
      </c>
      <c r="R2" s="16" t="s">
        <v>2842</v>
      </c>
      <c r="T2" s="14" t="s">
        <v>2870</v>
      </c>
      <c r="U2" s="14"/>
      <c r="V2" s="14"/>
    </row>
    <row r="3" spans="1:22" x14ac:dyDescent="0.35">
      <c r="A3" s="17" t="s">
        <v>0</v>
      </c>
      <c r="B3" s="18">
        <v>30</v>
      </c>
      <c r="C3" s="18" t="s">
        <v>2843</v>
      </c>
      <c r="H3" s="18" t="s">
        <v>19</v>
      </c>
      <c r="I3" s="20" t="s">
        <v>126</v>
      </c>
      <c r="L3" t="s">
        <v>16</v>
      </c>
      <c r="M3" s="3"/>
      <c r="P3" s="18" t="s">
        <v>2858</v>
      </c>
      <c r="Q3" s="21" t="s">
        <v>2862</v>
      </c>
      <c r="R3" s="22" t="s">
        <v>2863</v>
      </c>
      <c r="T3" s="14"/>
      <c r="U3" s="14"/>
      <c r="V3" s="14"/>
    </row>
    <row r="4" spans="1:22" x14ac:dyDescent="0.35">
      <c r="A4" s="17" t="s">
        <v>1</v>
      </c>
      <c r="B4" s="18">
        <v>30</v>
      </c>
      <c r="C4" s="18" t="s">
        <v>2843</v>
      </c>
      <c r="H4" s="18" t="s">
        <v>34</v>
      </c>
      <c r="I4" s="20"/>
      <c r="L4" t="s">
        <v>75</v>
      </c>
      <c r="M4" s="3"/>
      <c r="P4" s="18" t="s">
        <v>2859</v>
      </c>
      <c r="Q4" s="21" t="s">
        <v>2862</v>
      </c>
      <c r="R4" s="22"/>
      <c r="T4" s="14"/>
      <c r="U4" s="14"/>
      <c r="V4" s="14"/>
    </row>
    <row r="5" spans="1:22" x14ac:dyDescent="0.35">
      <c r="A5" s="17" t="s">
        <v>2</v>
      </c>
      <c r="B5" s="18">
        <v>0</v>
      </c>
      <c r="C5" s="18"/>
      <c r="H5" s="18" t="s">
        <v>27</v>
      </c>
      <c r="I5" s="20"/>
      <c r="L5" t="s">
        <v>25</v>
      </c>
      <c r="M5" s="3"/>
      <c r="P5" s="18" t="s">
        <v>2860</v>
      </c>
      <c r="Q5" s="21" t="s">
        <v>2862</v>
      </c>
      <c r="R5" s="22"/>
      <c r="T5" s="14"/>
      <c r="U5" s="14"/>
      <c r="V5" s="14"/>
    </row>
    <row r="6" spans="1:22" x14ac:dyDescent="0.35">
      <c r="A6" s="17" t="s">
        <v>3</v>
      </c>
      <c r="B6" s="18">
        <v>0</v>
      </c>
      <c r="C6" s="18"/>
      <c r="H6" s="18" t="s">
        <v>195</v>
      </c>
      <c r="I6" s="20" t="s">
        <v>65</v>
      </c>
      <c r="L6" t="s">
        <v>58</v>
      </c>
      <c r="M6" s="3"/>
      <c r="P6" t="s">
        <v>2861</v>
      </c>
      <c r="T6" s="14"/>
      <c r="U6" s="14"/>
      <c r="V6" s="14"/>
    </row>
    <row r="7" spans="1:22" x14ac:dyDescent="0.35">
      <c r="A7" s="17" t="s">
        <v>4</v>
      </c>
      <c r="B7" s="18">
        <v>0</v>
      </c>
      <c r="C7" s="18"/>
      <c r="H7" s="18" t="s">
        <v>381</v>
      </c>
      <c r="I7" s="20"/>
      <c r="M7" s="3"/>
      <c r="T7" s="14"/>
      <c r="U7" s="14"/>
      <c r="V7" s="14"/>
    </row>
    <row r="8" spans="1:22" x14ac:dyDescent="0.35">
      <c r="A8" s="17" t="s">
        <v>5</v>
      </c>
      <c r="B8" s="18">
        <v>32</v>
      </c>
      <c r="C8" s="18" t="s">
        <v>2843</v>
      </c>
      <c r="H8" s="18" t="s">
        <v>65</v>
      </c>
      <c r="I8" s="20"/>
      <c r="M8" s="3"/>
      <c r="T8" s="14"/>
      <c r="U8" s="14"/>
      <c r="V8" s="14"/>
    </row>
    <row r="9" spans="1:22" x14ac:dyDescent="0.35">
      <c r="A9" s="17" t="s">
        <v>6</v>
      </c>
      <c r="B9" s="18">
        <v>30</v>
      </c>
      <c r="C9" s="18" t="s">
        <v>2844</v>
      </c>
      <c r="H9" s="18" t="s">
        <v>48</v>
      </c>
      <c r="I9" s="20" t="s">
        <v>41</v>
      </c>
      <c r="M9" s="3"/>
    </row>
    <row r="10" spans="1:22" x14ac:dyDescent="0.35">
      <c r="A10" s="17" t="s">
        <v>7</v>
      </c>
      <c r="B10" s="18">
        <v>0</v>
      </c>
      <c r="C10" s="18"/>
      <c r="H10" s="18" t="s">
        <v>485</v>
      </c>
      <c r="I10" s="20"/>
      <c r="M10" s="3"/>
    </row>
    <row r="11" spans="1:22" x14ac:dyDescent="0.35">
      <c r="A11" s="17" t="s">
        <v>8</v>
      </c>
      <c r="B11" s="18">
        <v>574</v>
      </c>
      <c r="C11" s="18" t="s">
        <v>2845</v>
      </c>
    </row>
    <row r="12" spans="1:22" x14ac:dyDescent="0.35">
      <c r="A12" s="17" t="s">
        <v>9</v>
      </c>
      <c r="B12" s="18">
        <v>444</v>
      </c>
      <c r="C12" s="18" t="s">
        <v>2845</v>
      </c>
    </row>
    <row r="13" spans="1:22" x14ac:dyDescent="0.35">
      <c r="A13" s="17" t="s">
        <v>10</v>
      </c>
      <c r="B13" s="18">
        <v>65</v>
      </c>
      <c r="C13" s="18" t="s">
        <v>2846</v>
      </c>
    </row>
    <row r="14" spans="1:22" x14ac:dyDescent="0.35">
      <c r="A14" s="17" t="s">
        <v>11</v>
      </c>
      <c r="B14" s="18">
        <v>44</v>
      </c>
      <c r="C14" s="18" t="s">
        <v>2847</v>
      </c>
    </row>
    <row r="15" spans="1:22" x14ac:dyDescent="0.35">
      <c r="A15" s="17" t="s">
        <v>12</v>
      </c>
      <c r="B15" s="18">
        <v>0</v>
      </c>
      <c r="C15" s="18"/>
    </row>
  </sheetData>
  <mergeCells count="11">
    <mergeCell ref="R3:R5"/>
    <mergeCell ref="P1:R1"/>
    <mergeCell ref="T2:V8"/>
    <mergeCell ref="L1:N1"/>
    <mergeCell ref="A1:C1"/>
    <mergeCell ref="E1:F1"/>
    <mergeCell ref="E2:F2"/>
    <mergeCell ref="I3:I5"/>
    <mergeCell ref="I6:I8"/>
    <mergeCell ref="I9:I10"/>
    <mergeCell ref="H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A21EB-B335-448E-8B8A-7E761D86CE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digital_banking_transactions</vt:lpstr>
      <vt:lpstr>Cleaned 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reva</dc:creator>
  <cp:lastModifiedBy>reza reva</cp:lastModifiedBy>
  <dcterms:created xsi:type="dcterms:W3CDTF">2026-10-16T00:24:01Z</dcterms:created>
  <dcterms:modified xsi:type="dcterms:W3CDTF">2026-10-16T03:06:22Z</dcterms:modified>
</cp:coreProperties>
</file>